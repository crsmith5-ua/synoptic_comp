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Sheet" sheetId="1" r:id="rId5"/>
    <sheet state="visible" name="VelocityAreaMethod" sheetId="2" r:id="rId6"/>
  </sheets>
  <definedNames/>
  <calcPr/>
</workbook>
</file>

<file path=xl/sharedStrings.xml><?xml version="1.0" encoding="utf-8"?>
<sst xmlns="http://schemas.openxmlformats.org/spreadsheetml/2006/main" count="773" uniqueCount="158">
  <si>
    <t>LocationID</t>
  </si>
  <si>
    <t>Lat</t>
  </si>
  <si>
    <t>Long</t>
  </si>
  <si>
    <t>Flow status and measurement notes</t>
  </si>
  <si>
    <t>Date</t>
  </si>
  <si>
    <t>Inj_Time</t>
  </si>
  <si>
    <t>SN_background_1</t>
  </si>
  <si>
    <t>SN_background_2</t>
  </si>
  <si>
    <t>SN_downstream_1</t>
  </si>
  <si>
    <t>SN_downstream_2</t>
  </si>
  <si>
    <t>SN_upstream_1</t>
  </si>
  <si>
    <t>SN_upstream_2</t>
  </si>
  <si>
    <t>SN_center_1</t>
  </si>
  <si>
    <t>SN_center_2</t>
  </si>
  <si>
    <t>Dist_InjPoint_downstream</t>
  </si>
  <si>
    <t>Dist_InjPoint_upstream</t>
  </si>
  <si>
    <t>Dist_InjPoint_center</t>
  </si>
  <si>
    <t>Mass_Cl_g</t>
  </si>
  <si>
    <t>Background_SPC_upstream</t>
  </si>
  <si>
    <t>Background_Temp_upstream</t>
  </si>
  <si>
    <t>Background_SPC_downstream</t>
  </si>
  <si>
    <t>Background_Temp_downstream</t>
  </si>
  <si>
    <t>Avg_Width</t>
  </si>
  <si>
    <t>Avg_Depth</t>
  </si>
  <si>
    <t>Avg_Depth_low</t>
  </si>
  <si>
    <t>Avg_Depth_high</t>
  </si>
  <si>
    <t>STIC_Width</t>
  </si>
  <si>
    <t>Width1</t>
  </si>
  <si>
    <t>Depth1</t>
  </si>
  <si>
    <t>Width2</t>
  </si>
  <si>
    <t>Depth2</t>
  </si>
  <si>
    <t>Width3</t>
  </si>
  <si>
    <t>Depth3</t>
  </si>
  <si>
    <t>Width4</t>
  </si>
  <si>
    <t>Depth4</t>
  </si>
  <si>
    <t>Width5</t>
  </si>
  <si>
    <t>Depth5</t>
  </si>
  <si>
    <t>Width6</t>
  </si>
  <si>
    <t>Depth6</t>
  </si>
  <si>
    <t>Width7</t>
  </si>
  <si>
    <t>Depth7</t>
  </si>
  <si>
    <t>Width8</t>
  </si>
  <si>
    <t>Depth8</t>
  </si>
  <si>
    <t>Width9</t>
  </si>
  <si>
    <t>Depth9</t>
  </si>
  <si>
    <t>Width10</t>
  </si>
  <si>
    <t>Depth10</t>
  </si>
  <si>
    <t>Width11</t>
  </si>
  <si>
    <t>Depth11</t>
  </si>
  <si>
    <t>Width_high</t>
  </si>
  <si>
    <t>Depth1_high</t>
  </si>
  <si>
    <t>Depth2_high</t>
  </si>
  <si>
    <t>Depth3_high</t>
  </si>
  <si>
    <t>Depth4_high</t>
  </si>
  <si>
    <t>Depth5_high</t>
  </si>
  <si>
    <t>Depth6_high</t>
  </si>
  <si>
    <t>Depth7_high</t>
  </si>
  <si>
    <t>Depth8_high</t>
  </si>
  <si>
    <t>Depth9_high</t>
  </si>
  <si>
    <t>Depth10_high</t>
  </si>
  <si>
    <t>Depth11_high</t>
  </si>
  <si>
    <t>Width_low</t>
  </si>
  <si>
    <t>Depth1_low</t>
  </si>
  <si>
    <t>Depth2_low</t>
  </si>
  <si>
    <t>Depth3_low</t>
  </si>
  <si>
    <t>Depth4_low</t>
  </si>
  <si>
    <t>Depth5_low</t>
  </si>
  <si>
    <t>Depth6_low</t>
  </si>
  <si>
    <t>Depth7_low</t>
  </si>
  <si>
    <t>Depth8_low</t>
  </si>
  <si>
    <t>Depth9_low</t>
  </si>
  <si>
    <t>Depth10_low</t>
  </si>
  <si>
    <t>Depth11_low</t>
  </si>
  <si>
    <t>Depth12_low</t>
  </si>
  <si>
    <t>Depth13_low</t>
  </si>
  <si>
    <t>01M01</t>
  </si>
  <si>
    <t>Flowing, measured</t>
  </si>
  <si>
    <t>NA</t>
  </si>
  <si>
    <t>01M02</t>
  </si>
  <si>
    <t>01M03</t>
  </si>
  <si>
    <t>01M04</t>
  </si>
  <si>
    <t>01M05</t>
  </si>
  <si>
    <t>01M06</t>
  </si>
  <si>
    <t>02M01</t>
  </si>
  <si>
    <t>02M02</t>
  </si>
  <si>
    <t>02M03</t>
  </si>
  <si>
    <t>02M04</t>
  </si>
  <si>
    <t>02M05</t>
  </si>
  <si>
    <t>02M06</t>
  </si>
  <si>
    <t>02M07</t>
  </si>
  <si>
    <t>02M08</t>
  </si>
  <si>
    <t>Flowing, did not measure discharge (because 02M07 gain/loss was upstream of STIC and close-ish to 02M08)</t>
  </si>
  <si>
    <t>02M09</t>
  </si>
  <si>
    <t>02M10</t>
  </si>
  <si>
    <t>1.,2</t>
  </si>
  <si>
    <t>02M11</t>
  </si>
  <si>
    <t>04M01</t>
  </si>
  <si>
    <t>04M02</t>
  </si>
  <si>
    <t>04M03</t>
  </si>
  <si>
    <t>04M04</t>
  </si>
  <si>
    <t>04M05</t>
  </si>
  <si>
    <t>04M06</t>
  </si>
  <si>
    <t>04M07</t>
  </si>
  <si>
    <t>04M08</t>
  </si>
  <si>
    <t>04M09</t>
  </si>
  <si>
    <t>04M10</t>
  </si>
  <si>
    <t>04M11</t>
  </si>
  <si>
    <t>04M12</t>
  </si>
  <si>
    <t>04M13</t>
  </si>
  <si>
    <t>Visited 6/9/2021, not flowing</t>
  </si>
  <si>
    <t>04T01</t>
  </si>
  <si>
    <r>
      <rPr>
        <rFont val="Calibri, sans-serif"/>
        <color rgb="FF000000"/>
        <sz val="11.0"/>
      </rPr>
      <t>Visited 6/10/2021, not flowing</t>
    </r>
    <r>
      <rPr>
        <rFont val="Calibri, sans-serif"/>
        <color rgb="FF000000"/>
        <sz val="11.0"/>
      </rPr>
      <t>; visited 6/4/2021, flowing</t>
    </r>
  </si>
  <si>
    <t>04T02</t>
  </si>
  <si>
    <t>04W01</t>
  </si>
  <si>
    <t>Visited 6/7/2021, not flowing</t>
  </si>
  <si>
    <t>04W02</t>
  </si>
  <si>
    <t>04W03</t>
  </si>
  <si>
    <t>04W04</t>
  </si>
  <si>
    <t>20M01</t>
  </si>
  <si>
    <t>Visited on 6/5/2021, not flowing</t>
  </si>
  <si>
    <t>20M02</t>
  </si>
  <si>
    <t>20M03</t>
  </si>
  <si>
    <t>20M04</t>
  </si>
  <si>
    <t>Visited on 6/6/2021, flowing; visited on 06/11/2021, not flowing</t>
  </si>
  <si>
    <t>20M05</t>
  </si>
  <si>
    <t>SFM01</t>
  </si>
  <si>
    <t>Flowing, measured with both velocity area and salt dilution</t>
  </si>
  <si>
    <t>SFM02</t>
  </si>
  <si>
    <t>Flowing, measured with velocity area method</t>
  </si>
  <si>
    <t>SFM03</t>
  </si>
  <si>
    <t>SFM04</t>
  </si>
  <si>
    <t>SFM05</t>
  </si>
  <si>
    <t>SFM06</t>
  </si>
  <si>
    <t>SFM07</t>
  </si>
  <si>
    <t>Flowing, not measured (thunderstorm)</t>
  </si>
  <si>
    <t>SFT01</t>
  </si>
  <si>
    <t>SFT02</t>
  </si>
  <si>
    <t>Summary Table</t>
  </si>
  <si>
    <t>Site</t>
  </si>
  <si>
    <t>Q (cms)</t>
  </si>
  <si>
    <t>Site:</t>
  </si>
  <si>
    <t>Date:</t>
  </si>
  <si>
    <t>Personel</t>
  </si>
  <si>
    <t>Carla and Nate</t>
  </si>
  <si>
    <t>Wetted Width</t>
  </si>
  <si>
    <t>3.5 to 6.9 m</t>
  </si>
  <si>
    <t>2.8-7.2 m</t>
  </si>
  <si>
    <t>Tape (m)</t>
  </si>
  <si>
    <t>Depth (m)</t>
  </si>
  <si>
    <t>Velocity (m/s)</t>
  </si>
  <si>
    <t>Notes</t>
  </si>
  <si>
    <t>Edge of water</t>
  </si>
  <si>
    <t>Bulb out of water</t>
  </si>
  <si>
    <t xml:space="preserve">Rock </t>
  </si>
  <si>
    <t>Bulb above water</t>
  </si>
  <si>
    <t>Eddy</t>
  </si>
  <si>
    <t>Total Flow (cfs)</t>
  </si>
  <si>
    <t>Rock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</si>
</sst>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d, 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20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left"/>
    </xf>
    <xf borderId="1" fillId="2" fontId="4" numFmtId="0" xfId="0" applyAlignment="1" applyBorder="1" applyFill="1" applyFont="1">
      <alignment readingOrder="0"/>
    </xf>
    <xf borderId="2" fillId="2" fontId="4" numFmtId="0" xfId="0" applyAlignment="1" applyBorder="1" applyFont="1">
      <alignment readingOrder="0"/>
    </xf>
    <xf borderId="3" fillId="2" fontId="4" numFmtId="0" xfId="0" applyAlignment="1" applyBorder="1" applyFont="1">
      <alignment readingOrder="0"/>
    </xf>
    <xf borderId="4" fillId="0" fontId="2" numFmtId="0" xfId="0" applyBorder="1" applyFont="1"/>
    <xf borderId="0" fillId="0" fontId="2" numFmtId="165" xfId="0" applyFont="1" applyNumberFormat="1"/>
    <xf borderId="5" fillId="0" fontId="2" numFmtId="0" xfId="0" applyBorder="1" applyFont="1"/>
    <xf borderId="6" fillId="0" fontId="2" numFmtId="0" xfId="0" applyBorder="1" applyFont="1"/>
    <xf borderId="7" fillId="0" fontId="2" numFmtId="165" xfId="0" applyBorder="1" applyFont="1" applyNumberFormat="1"/>
    <xf borderId="8" fillId="0" fontId="2" numFmtId="0" xfId="0" applyBorder="1" applyFont="1"/>
    <xf borderId="9" fillId="2" fontId="4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9" fillId="3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5" fillId="0" fontId="2" numFmtId="165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2" fontId="4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6" fillId="3" fontId="4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4" fontId="2" numFmtId="0" xfId="0" applyBorder="1" applyFill="1" applyFont="1"/>
    <xf borderId="3" fillId="4" fontId="2" numFmtId="0" xfId="0" applyAlignment="1" applyBorder="1" applyFont="1">
      <alignment readingOrder="0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81.75"/>
    <col customWidth="1" min="5" max="5" width="8.88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s="1" t="s">
        <v>75</v>
      </c>
      <c r="B2" s="4">
        <v>39.08667</v>
      </c>
      <c r="C2" s="4">
        <v>-96.577</v>
      </c>
      <c r="D2" s="2" t="s">
        <v>76</v>
      </c>
      <c r="E2" s="5">
        <v>44355.0</v>
      </c>
      <c r="F2" s="6">
        <v>0.44930555555555557</v>
      </c>
      <c r="G2" s="4">
        <v>1081611.0</v>
      </c>
      <c r="H2" s="4">
        <v>1081815.0</v>
      </c>
      <c r="I2" s="4">
        <v>1081610.0</v>
      </c>
      <c r="J2" s="4">
        <v>1081613.0</v>
      </c>
      <c r="K2" s="1" t="s">
        <v>77</v>
      </c>
      <c r="L2" s="1" t="s">
        <v>77</v>
      </c>
      <c r="M2" s="1" t="s">
        <v>77</v>
      </c>
      <c r="N2" s="1" t="s">
        <v>77</v>
      </c>
      <c r="O2" s="4">
        <v>37.0</v>
      </c>
      <c r="P2" s="1" t="s">
        <v>77</v>
      </c>
      <c r="Q2" s="1" t="s">
        <v>77</v>
      </c>
      <c r="R2" s="4">
        <v>35.03</v>
      </c>
      <c r="S2" s="4">
        <v>534.0</v>
      </c>
      <c r="T2" s="4">
        <v>16.2</v>
      </c>
      <c r="U2" s="4">
        <v>537.0</v>
      </c>
      <c r="V2" s="4">
        <v>16.7</v>
      </c>
      <c r="W2" s="4">
        <v>1.88</v>
      </c>
      <c r="X2" s="4">
        <v>0.112</v>
      </c>
      <c r="Y2" s="1" t="s">
        <v>77</v>
      </c>
      <c r="Z2" s="1" t="s">
        <v>77</v>
      </c>
      <c r="AA2" s="4"/>
      <c r="AB2" s="4">
        <v>0.4</v>
      </c>
      <c r="AC2" s="4">
        <v>0.08</v>
      </c>
      <c r="AD2" s="4">
        <v>1.0</v>
      </c>
      <c r="AE2" s="4">
        <v>0.15</v>
      </c>
      <c r="AF2" s="4">
        <v>1.4</v>
      </c>
      <c r="AG2" s="4">
        <v>0.18</v>
      </c>
      <c r="AH2" s="4">
        <v>1.8</v>
      </c>
      <c r="AI2" s="4">
        <v>0.205</v>
      </c>
      <c r="AJ2" s="4">
        <v>2.0</v>
      </c>
      <c r="AK2" s="4">
        <v>0.175</v>
      </c>
      <c r="AL2" s="4">
        <v>2.4</v>
      </c>
      <c r="AM2" s="4">
        <v>0.15</v>
      </c>
      <c r="AN2" s="4">
        <v>2.8</v>
      </c>
      <c r="AO2" s="4">
        <v>0.07</v>
      </c>
      <c r="AP2" s="4">
        <v>2.9</v>
      </c>
      <c r="AQ2" s="4">
        <v>0.03</v>
      </c>
      <c r="AR2" s="4">
        <v>3.0</v>
      </c>
      <c r="AS2" s="4">
        <v>0.05</v>
      </c>
      <c r="AT2" s="4">
        <v>3.2</v>
      </c>
      <c r="AU2" s="4">
        <v>0.025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>
      <c r="A3" s="1" t="s">
        <v>78</v>
      </c>
      <c r="B3" s="4">
        <v>39.08629</v>
      </c>
      <c r="C3" s="4">
        <v>-96.5763</v>
      </c>
      <c r="D3" s="2" t="s">
        <v>76</v>
      </c>
      <c r="E3" s="5">
        <v>44355.0</v>
      </c>
      <c r="F3" s="6">
        <v>0.4951388888888889</v>
      </c>
      <c r="G3" s="4">
        <v>1081611.0</v>
      </c>
      <c r="H3" s="4">
        <v>1081815.0</v>
      </c>
      <c r="I3" s="4">
        <v>1081610.0</v>
      </c>
      <c r="J3" s="4">
        <v>1081613.0</v>
      </c>
      <c r="K3" s="1" t="s">
        <v>77</v>
      </c>
      <c r="L3" s="1" t="s">
        <v>77</v>
      </c>
      <c r="M3" s="1" t="s">
        <v>77</v>
      </c>
      <c r="N3" s="1" t="s">
        <v>77</v>
      </c>
      <c r="O3" s="4">
        <v>30.0</v>
      </c>
      <c r="P3" s="1" t="s">
        <v>77</v>
      </c>
      <c r="Q3" s="1" t="s">
        <v>77</v>
      </c>
      <c r="R3" s="4">
        <v>50.34</v>
      </c>
      <c r="S3" s="4">
        <v>539.0</v>
      </c>
      <c r="T3" s="4">
        <v>18.5</v>
      </c>
      <c r="U3" s="4">
        <v>535.0</v>
      </c>
      <c r="V3" s="4">
        <v>16.4</v>
      </c>
      <c r="W3" s="4">
        <v>1.38</v>
      </c>
      <c r="X3" s="4">
        <v>0.095</v>
      </c>
      <c r="Y3" s="1" t="s">
        <v>77</v>
      </c>
      <c r="Z3" s="1" t="s">
        <v>77</v>
      </c>
      <c r="AA3" s="4">
        <v>1.5</v>
      </c>
      <c r="AB3" s="4">
        <v>0.2</v>
      </c>
      <c r="AC3" s="4">
        <v>0.03</v>
      </c>
      <c r="AD3" s="4">
        <v>0.3</v>
      </c>
      <c r="AE3" s="4">
        <v>0.08</v>
      </c>
      <c r="AF3" s="4">
        <v>0.45</v>
      </c>
      <c r="AG3" s="4">
        <v>0.1</v>
      </c>
      <c r="AH3" s="4">
        <v>0.6</v>
      </c>
      <c r="AI3" s="4">
        <v>0.1</v>
      </c>
      <c r="AJ3" s="4">
        <v>0.75</v>
      </c>
      <c r="AK3" s="4">
        <v>0.12</v>
      </c>
      <c r="AL3" s="4">
        <v>0.9</v>
      </c>
      <c r="AM3" s="4">
        <v>0.11</v>
      </c>
      <c r="AN3" s="4">
        <v>1.05</v>
      </c>
      <c r="AO3" s="4">
        <v>0.145</v>
      </c>
      <c r="AP3" s="4">
        <v>1.2</v>
      </c>
      <c r="AQ3" s="4">
        <v>0.1</v>
      </c>
      <c r="AR3" s="4">
        <v>1.35</v>
      </c>
      <c r="AS3" s="4">
        <v>0.07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>
      <c r="A4" s="1" t="s">
        <v>79</v>
      </c>
      <c r="B4" s="4">
        <v>39.08471</v>
      </c>
      <c r="C4" s="4">
        <v>-96.5759</v>
      </c>
      <c r="D4" s="2" t="s">
        <v>76</v>
      </c>
      <c r="E4" s="5">
        <v>44355.0</v>
      </c>
      <c r="F4" s="6">
        <v>0.5326388888888889</v>
      </c>
      <c r="G4" s="4">
        <v>1081611.0</v>
      </c>
      <c r="H4" s="4">
        <v>1081815.0</v>
      </c>
      <c r="I4" s="4">
        <v>1081610.0</v>
      </c>
      <c r="J4" s="4">
        <v>1081613.0</v>
      </c>
      <c r="K4" s="1" t="s">
        <v>77</v>
      </c>
      <c r="L4" s="1" t="s">
        <v>77</v>
      </c>
      <c r="M4" s="1" t="s">
        <v>77</v>
      </c>
      <c r="N4" s="1" t="s">
        <v>77</v>
      </c>
      <c r="O4" s="4">
        <v>32.0</v>
      </c>
      <c r="P4" s="1" t="s">
        <v>77</v>
      </c>
      <c r="Q4" s="1" t="s">
        <v>77</v>
      </c>
      <c r="R4" s="4">
        <v>10.25</v>
      </c>
      <c r="S4" s="4">
        <v>532.0</v>
      </c>
      <c r="T4" s="4">
        <v>20.9</v>
      </c>
      <c r="U4" s="4">
        <v>532.0</v>
      </c>
      <c r="V4" s="4">
        <v>21.1</v>
      </c>
      <c r="W4" s="4">
        <v>1.42</v>
      </c>
      <c r="X4" s="1" t="s">
        <v>77</v>
      </c>
      <c r="Y4" s="1" t="s">
        <v>77</v>
      </c>
      <c r="Z4" s="4">
        <v>0.05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>
        <v>1.0</v>
      </c>
      <c r="AY4" s="4">
        <v>0.02</v>
      </c>
      <c r="AZ4" s="4">
        <v>0.04</v>
      </c>
      <c r="BA4" s="4">
        <v>0.08</v>
      </c>
      <c r="BB4" s="4">
        <v>0.07</v>
      </c>
      <c r="BC4" s="4">
        <v>0.09</v>
      </c>
      <c r="BD4" s="4">
        <v>0.07</v>
      </c>
      <c r="BE4" s="4">
        <v>0.05</v>
      </c>
      <c r="BF4" s="4">
        <v>0.02</v>
      </c>
      <c r="BG4" s="4">
        <v>0.01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>
      <c r="A5" s="1" t="s">
        <v>80</v>
      </c>
      <c r="B5" s="4">
        <v>39.08357</v>
      </c>
      <c r="C5" s="4">
        <v>-96.5751</v>
      </c>
      <c r="D5" s="2" t="s">
        <v>76</v>
      </c>
      <c r="E5" s="5">
        <v>44355.0</v>
      </c>
      <c r="F5" s="6">
        <v>0.5888888888888889</v>
      </c>
      <c r="G5" s="4">
        <v>1081613.0</v>
      </c>
      <c r="H5" s="4">
        <v>1081610.0</v>
      </c>
      <c r="I5" s="4">
        <v>1081611.0</v>
      </c>
      <c r="J5" s="4">
        <v>1081815.0</v>
      </c>
      <c r="K5" s="1" t="s">
        <v>77</v>
      </c>
      <c r="L5" s="1" t="s">
        <v>77</v>
      </c>
      <c r="M5" s="1" t="s">
        <v>77</v>
      </c>
      <c r="N5" s="1" t="s">
        <v>77</v>
      </c>
      <c r="O5" s="4">
        <v>28.2</v>
      </c>
      <c r="P5" s="1" t="s">
        <v>77</v>
      </c>
      <c r="Q5" s="1" t="s">
        <v>77</v>
      </c>
      <c r="R5" s="4">
        <v>10.44</v>
      </c>
      <c r="S5" s="4">
        <v>489.3</v>
      </c>
      <c r="T5" s="4">
        <v>26.3</v>
      </c>
      <c r="U5" s="4">
        <v>525.0</v>
      </c>
      <c r="V5" s="4">
        <v>21.9</v>
      </c>
      <c r="W5" s="4">
        <v>1.65</v>
      </c>
      <c r="X5" s="4">
        <v>0.378</v>
      </c>
      <c r="Y5" s="1" t="s">
        <v>77</v>
      </c>
      <c r="Z5" s="1" t="s">
        <v>77</v>
      </c>
      <c r="AA5" s="4">
        <v>5.4</v>
      </c>
      <c r="AB5" s="4">
        <v>0.54</v>
      </c>
      <c r="AC5" s="4">
        <v>0.21</v>
      </c>
      <c r="AD5" s="4">
        <v>1.0</v>
      </c>
      <c r="AE5" s="4">
        <v>0.24</v>
      </c>
      <c r="AF5" s="4">
        <v>1.5</v>
      </c>
      <c r="AG5" s="4">
        <v>0.3</v>
      </c>
      <c r="AH5" s="4">
        <v>2.0</v>
      </c>
      <c r="AI5" s="4">
        <v>0.31</v>
      </c>
      <c r="AJ5" s="4">
        <v>2.5</v>
      </c>
      <c r="AK5" s="4">
        <v>48.5</v>
      </c>
      <c r="AL5" s="4">
        <v>3.0</v>
      </c>
      <c r="AM5" s="4">
        <v>0.57</v>
      </c>
      <c r="AN5" s="4">
        <v>3.5</v>
      </c>
      <c r="AO5" s="4">
        <v>0.577</v>
      </c>
      <c r="AP5" s="4">
        <v>5.0</v>
      </c>
      <c r="AQ5" s="4">
        <v>0.54</v>
      </c>
      <c r="AR5" s="4">
        <v>4.5</v>
      </c>
      <c r="AS5" s="4">
        <v>0.39</v>
      </c>
      <c r="AT5" s="4">
        <v>5.0</v>
      </c>
      <c r="AU5" s="4">
        <v>0.16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>
      <c r="A6" s="1" t="s">
        <v>81</v>
      </c>
      <c r="B6" s="4">
        <v>39.08264</v>
      </c>
      <c r="C6" s="4">
        <v>-96.5742</v>
      </c>
      <c r="D6" s="2" t="s">
        <v>76</v>
      </c>
      <c r="E6" s="5">
        <v>44356.0</v>
      </c>
      <c r="F6" s="6">
        <v>0.4479166666666667</v>
      </c>
      <c r="G6" s="4">
        <v>1081613.0</v>
      </c>
      <c r="H6" s="4">
        <v>1081611.0</v>
      </c>
      <c r="I6" s="4">
        <v>1081815.0</v>
      </c>
      <c r="J6" s="4">
        <v>1081610.0</v>
      </c>
      <c r="K6" s="1" t="s">
        <v>77</v>
      </c>
      <c r="L6" s="1" t="s">
        <v>77</v>
      </c>
      <c r="M6" s="1" t="s">
        <v>77</v>
      </c>
      <c r="N6" s="1" t="s">
        <v>77</v>
      </c>
      <c r="O6" s="4">
        <v>10.0</v>
      </c>
      <c r="P6" s="1" t="s">
        <v>77</v>
      </c>
      <c r="Q6" s="1" t="s">
        <v>77</v>
      </c>
      <c r="R6" s="4">
        <v>25.01</v>
      </c>
      <c r="S6" s="4">
        <v>539.0</v>
      </c>
      <c r="T6" s="4">
        <v>19.7</v>
      </c>
      <c r="U6" s="4">
        <v>540.0</v>
      </c>
      <c r="V6" s="4">
        <v>19.98</v>
      </c>
      <c r="W6" s="4">
        <v>0.852</v>
      </c>
      <c r="X6" s="4">
        <v>0.083</v>
      </c>
      <c r="Y6" s="1" t="s">
        <v>77</v>
      </c>
      <c r="Z6" s="1" t="s">
        <v>77</v>
      </c>
      <c r="AA6" s="4">
        <v>1.3</v>
      </c>
      <c r="AB6" s="4">
        <v>0.0</v>
      </c>
      <c r="AC6" s="4">
        <v>0.01</v>
      </c>
      <c r="AD6" s="4">
        <v>0.1</v>
      </c>
      <c r="AE6" s="4">
        <v>0.025</v>
      </c>
      <c r="AF6" s="4">
        <v>0.2</v>
      </c>
      <c r="AG6" s="4">
        <v>0.05</v>
      </c>
      <c r="AH6" s="4">
        <v>0.33</v>
      </c>
      <c r="AI6" s="4">
        <v>0.07</v>
      </c>
      <c r="AJ6" s="4">
        <v>0.5</v>
      </c>
      <c r="AK6" s="4">
        <v>0.075</v>
      </c>
      <c r="AL6" s="4">
        <v>0.64</v>
      </c>
      <c r="AM6" s="4">
        <v>0.1</v>
      </c>
      <c r="AN6" s="4">
        <v>0.77</v>
      </c>
      <c r="AO6" s="4">
        <v>0.09</v>
      </c>
      <c r="AP6" s="4">
        <v>0.9</v>
      </c>
      <c r="AQ6" s="4">
        <v>0.12</v>
      </c>
      <c r="AR6" s="4">
        <v>1.03</v>
      </c>
      <c r="AS6" s="4">
        <v>0.14</v>
      </c>
      <c r="AT6" s="4">
        <v>1.23</v>
      </c>
      <c r="AU6" s="4">
        <v>0.15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</row>
    <row r="7">
      <c r="A7" s="1" t="s">
        <v>82</v>
      </c>
      <c r="B7" s="4">
        <v>39.08065</v>
      </c>
      <c r="C7" s="4">
        <v>-96.5716</v>
      </c>
      <c r="D7" s="2" t="s">
        <v>76</v>
      </c>
      <c r="E7" s="5">
        <v>44356.0</v>
      </c>
      <c r="F7" s="6">
        <v>0.4826388888888889</v>
      </c>
      <c r="G7" s="4">
        <v>1081613.0</v>
      </c>
      <c r="H7" s="4">
        <v>1081611.0</v>
      </c>
      <c r="I7" s="4">
        <v>1081815.0</v>
      </c>
      <c r="J7" s="4">
        <v>1081610.0</v>
      </c>
      <c r="K7" s="1" t="s">
        <v>77</v>
      </c>
      <c r="L7" s="1" t="s">
        <v>77</v>
      </c>
      <c r="M7" s="1" t="s">
        <v>77</v>
      </c>
      <c r="N7" s="1" t="s">
        <v>77</v>
      </c>
      <c r="O7" s="4">
        <v>11.3</v>
      </c>
      <c r="P7" s="1" t="s">
        <v>77</v>
      </c>
      <c r="Q7" s="1" t="s">
        <v>77</v>
      </c>
      <c r="R7" s="4">
        <v>25.0</v>
      </c>
      <c r="S7" s="4">
        <v>539.0</v>
      </c>
      <c r="T7" s="4">
        <v>14.6</v>
      </c>
      <c r="U7" s="4">
        <v>508.0</v>
      </c>
      <c r="V7" s="4">
        <v>15.92</v>
      </c>
      <c r="W7" s="4">
        <v>0.54</v>
      </c>
      <c r="X7" s="4">
        <v>0.13</v>
      </c>
      <c r="Y7" s="1" t="s">
        <v>77</v>
      </c>
      <c r="Z7" s="1" t="s">
        <v>77</v>
      </c>
      <c r="AA7" s="7">
        <v>1.6</v>
      </c>
      <c r="AB7" s="4">
        <v>0.15</v>
      </c>
      <c r="AC7" s="4">
        <v>0.105</v>
      </c>
      <c r="AD7" s="4">
        <v>0.3</v>
      </c>
      <c r="AE7" s="4">
        <v>0.1</v>
      </c>
      <c r="AF7" s="4">
        <v>0.45</v>
      </c>
      <c r="AG7" s="4">
        <v>0.145</v>
      </c>
      <c r="AH7" s="4">
        <v>0.6</v>
      </c>
      <c r="AI7" s="4">
        <v>0.195</v>
      </c>
      <c r="AJ7" s="4">
        <v>0.75</v>
      </c>
      <c r="AK7" s="4">
        <v>0.13</v>
      </c>
      <c r="AL7" s="4">
        <v>0.9</v>
      </c>
      <c r="AM7" s="4">
        <v>0.2</v>
      </c>
      <c r="AN7" s="4">
        <v>1.05</v>
      </c>
      <c r="AO7" s="4">
        <v>0.195</v>
      </c>
      <c r="AP7" s="4">
        <v>1.2</v>
      </c>
      <c r="AQ7" s="4">
        <v>0.12</v>
      </c>
      <c r="AR7" s="4">
        <v>1.35</v>
      </c>
      <c r="AS7" s="4">
        <v>0.07</v>
      </c>
      <c r="AT7" s="4">
        <v>1.5</v>
      </c>
      <c r="AU7" s="4">
        <v>0.04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>
      <c r="A8" s="1" t="s">
        <v>83</v>
      </c>
      <c r="B8" s="4">
        <v>39.09187</v>
      </c>
      <c r="C8" s="4">
        <v>-96.5882</v>
      </c>
      <c r="D8" s="2" t="s">
        <v>76</v>
      </c>
      <c r="E8" s="8">
        <v>44354.0</v>
      </c>
      <c r="F8" s="9">
        <v>0.5284722222222222</v>
      </c>
      <c r="G8" s="1">
        <v>1081622.0</v>
      </c>
      <c r="H8" s="1" t="s">
        <v>77</v>
      </c>
      <c r="I8" s="1">
        <v>1081815.0</v>
      </c>
      <c r="J8" s="1" t="s">
        <v>77</v>
      </c>
      <c r="K8" s="1">
        <v>1081610.0</v>
      </c>
      <c r="L8" s="1" t="s">
        <v>77</v>
      </c>
      <c r="M8" s="1">
        <v>1081613.0</v>
      </c>
      <c r="N8" s="1" t="s">
        <v>77</v>
      </c>
      <c r="O8" s="1">
        <v>15.0</v>
      </c>
      <c r="P8" s="1">
        <v>0.0</v>
      </c>
      <c r="Q8" s="1">
        <v>7.5</v>
      </c>
      <c r="R8" s="1">
        <v>20.0</v>
      </c>
      <c r="S8" s="1">
        <v>508.0</v>
      </c>
      <c r="T8" s="1" t="s">
        <v>77</v>
      </c>
      <c r="U8" s="1" t="s">
        <v>77</v>
      </c>
      <c r="V8" s="1" t="s">
        <v>77</v>
      </c>
      <c r="W8" s="1">
        <v>0.372</v>
      </c>
      <c r="X8" s="1">
        <v>0.101</v>
      </c>
      <c r="Y8" s="1" t="s">
        <v>77</v>
      </c>
      <c r="Z8" s="1" t="s">
        <v>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</row>
    <row r="9">
      <c r="A9" s="1" t="s">
        <v>84</v>
      </c>
      <c r="B9" s="4">
        <v>39.09084</v>
      </c>
      <c r="C9" s="4">
        <v>-96.5883</v>
      </c>
      <c r="D9" s="2" t="s">
        <v>76</v>
      </c>
      <c r="E9" s="8">
        <v>44354.0</v>
      </c>
      <c r="F9" s="9">
        <v>0.6777777777777778</v>
      </c>
      <c r="G9" s="1">
        <v>1081613.0</v>
      </c>
      <c r="H9" s="1" t="s">
        <v>77</v>
      </c>
      <c r="I9" s="1">
        <v>1001610.0</v>
      </c>
      <c r="J9" s="10">
        <v>1001815.0</v>
      </c>
      <c r="K9" s="7" t="s">
        <v>77</v>
      </c>
      <c r="L9" s="1" t="s">
        <v>77</v>
      </c>
      <c r="M9" s="1" t="s">
        <v>77</v>
      </c>
      <c r="N9" s="1" t="s">
        <v>77</v>
      </c>
      <c r="O9" s="1">
        <v>26.0</v>
      </c>
      <c r="P9" s="1" t="s">
        <v>77</v>
      </c>
      <c r="Q9" s="1" t="s">
        <v>77</v>
      </c>
      <c r="R9" s="1">
        <v>10.0</v>
      </c>
      <c r="S9" s="1" t="s">
        <v>77</v>
      </c>
      <c r="T9" s="1" t="s">
        <v>77</v>
      </c>
      <c r="U9" s="1" t="s">
        <v>77</v>
      </c>
      <c r="V9" s="1" t="s">
        <v>77</v>
      </c>
      <c r="W9" s="1">
        <v>1.62</v>
      </c>
      <c r="X9" s="1">
        <v>0.1</v>
      </c>
      <c r="Y9" s="1" t="s">
        <v>77</v>
      </c>
      <c r="Z9" s="1" t="s">
        <v>77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</row>
    <row r="10">
      <c r="A10" s="1" t="s">
        <v>85</v>
      </c>
      <c r="B10" s="4">
        <v>39.08991</v>
      </c>
      <c r="C10" s="4">
        <v>-96.5886</v>
      </c>
      <c r="D10" s="2" t="s">
        <v>76</v>
      </c>
      <c r="E10" s="5">
        <v>44356.0</v>
      </c>
      <c r="F10" s="6">
        <v>0.5569444444444445</v>
      </c>
      <c r="G10" s="4">
        <v>1081613.0</v>
      </c>
      <c r="H10" s="4">
        <v>1081611.0</v>
      </c>
      <c r="I10" s="4">
        <v>1081815.0</v>
      </c>
      <c r="J10" s="4">
        <v>1081610.0</v>
      </c>
      <c r="K10" s="1" t="s">
        <v>77</v>
      </c>
      <c r="L10" s="1" t="s">
        <v>77</v>
      </c>
      <c r="M10" s="1" t="s">
        <v>77</v>
      </c>
      <c r="N10" s="1" t="s">
        <v>77</v>
      </c>
      <c r="O10" s="4">
        <v>33.0</v>
      </c>
      <c r="P10" s="1" t="s">
        <v>77</v>
      </c>
      <c r="Q10" s="1" t="s">
        <v>77</v>
      </c>
      <c r="R10" s="4">
        <v>50.03</v>
      </c>
      <c r="S10" s="4">
        <v>535.0</v>
      </c>
      <c r="T10" s="4">
        <v>23.2</v>
      </c>
      <c r="U10" s="4">
        <v>531.0</v>
      </c>
      <c r="V10" s="4">
        <v>23.6</v>
      </c>
      <c r="W10" s="4">
        <v>1.68</v>
      </c>
      <c r="X10" s="4">
        <v>0.051</v>
      </c>
      <c r="Y10" s="1" t="s">
        <v>77</v>
      </c>
      <c r="Z10" s="1" t="s">
        <v>77</v>
      </c>
      <c r="AA10" s="4">
        <v>0.8</v>
      </c>
      <c r="AB10" s="4">
        <v>0.1</v>
      </c>
      <c r="AC10" s="4">
        <v>0.04</v>
      </c>
      <c r="AD10" s="4">
        <v>0.2</v>
      </c>
      <c r="AE10" s="4">
        <v>0.05</v>
      </c>
      <c r="AF10" s="4">
        <v>0.4</v>
      </c>
      <c r="AG10" s="4">
        <v>0.055</v>
      </c>
      <c r="AH10" s="4">
        <v>0.5</v>
      </c>
      <c r="AI10" s="4">
        <v>0.035</v>
      </c>
      <c r="AJ10" s="4">
        <v>0.6</v>
      </c>
      <c r="AK10" s="4">
        <v>0.04</v>
      </c>
      <c r="AL10" s="4">
        <v>0.7</v>
      </c>
      <c r="AM10" s="4">
        <v>0.07</v>
      </c>
      <c r="AN10" s="4">
        <v>0.8</v>
      </c>
      <c r="AO10" s="4">
        <v>0.075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</row>
    <row r="11">
      <c r="A11" s="1" t="s">
        <v>86</v>
      </c>
      <c r="B11" s="4">
        <v>39.08824</v>
      </c>
      <c r="C11" s="4">
        <v>-96.5896</v>
      </c>
      <c r="D11" s="2" t="s">
        <v>76</v>
      </c>
      <c r="E11" s="5">
        <v>44356.0</v>
      </c>
      <c r="F11" s="6">
        <v>0.6034722222222222</v>
      </c>
      <c r="G11" s="4">
        <v>1081613.0</v>
      </c>
      <c r="H11" s="4">
        <v>1081611.0</v>
      </c>
      <c r="I11" s="4">
        <v>1081815.0</v>
      </c>
      <c r="J11" s="4">
        <v>1081610.0</v>
      </c>
      <c r="K11" s="1" t="s">
        <v>77</v>
      </c>
      <c r="L11" s="1" t="s">
        <v>77</v>
      </c>
      <c r="M11" s="1" t="s">
        <v>77</v>
      </c>
      <c r="N11" s="1" t="s">
        <v>77</v>
      </c>
      <c r="O11" s="4">
        <v>17.7</v>
      </c>
      <c r="P11" s="1" t="s">
        <v>77</v>
      </c>
      <c r="Q11" s="1" t="s">
        <v>77</v>
      </c>
      <c r="R11" s="4">
        <v>35.57</v>
      </c>
      <c r="S11" s="4">
        <v>533.0</v>
      </c>
      <c r="T11" s="4">
        <v>21.1</v>
      </c>
      <c r="U11" s="4">
        <v>532.0</v>
      </c>
      <c r="V11" s="4">
        <v>22.4</v>
      </c>
      <c r="W11" s="4">
        <v>1.18</v>
      </c>
      <c r="X11" s="4">
        <v>0.039</v>
      </c>
      <c r="Y11" s="1" t="s">
        <v>77</v>
      </c>
      <c r="Z11" s="1" t="s">
        <v>77</v>
      </c>
      <c r="AA11" s="4">
        <v>1.1</v>
      </c>
      <c r="AB11" s="4">
        <v>0.1</v>
      </c>
      <c r="AC11" s="4">
        <v>0.035</v>
      </c>
      <c r="AD11" s="4">
        <v>0.2</v>
      </c>
      <c r="AE11" s="4">
        <v>0.05</v>
      </c>
      <c r="AF11" s="4">
        <v>0.3</v>
      </c>
      <c r="AG11" s="4">
        <v>0.05</v>
      </c>
      <c r="AH11" s="4">
        <v>0.4</v>
      </c>
      <c r="AI11" s="4">
        <v>0.07</v>
      </c>
      <c r="AJ11" s="4">
        <v>0.5</v>
      </c>
      <c r="AK11" s="4">
        <v>0.04</v>
      </c>
      <c r="AL11" s="4">
        <v>0.6</v>
      </c>
      <c r="AM11" s="4">
        <v>0.04</v>
      </c>
      <c r="AN11" s="4">
        <v>0.7</v>
      </c>
      <c r="AO11" s="4">
        <v>0.03</v>
      </c>
      <c r="AP11" s="4">
        <v>0.8</v>
      </c>
      <c r="AQ11" s="4">
        <v>0.03</v>
      </c>
      <c r="AR11" s="4">
        <v>0.9</v>
      </c>
      <c r="AS11" s="4">
        <v>0.02</v>
      </c>
      <c r="AT11" s="4">
        <v>1.0</v>
      </c>
      <c r="AU11" s="4">
        <v>0.02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>
      <c r="A12" s="1" t="s">
        <v>87</v>
      </c>
      <c r="B12" s="4">
        <v>39.08698</v>
      </c>
      <c r="C12" s="4">
        <v>-96.5908</v>
      </c>
      <c r="D12" s="2" t="s">
        <v>76</v>
      </c>
      <c r="E12" s="5">
        <v>44356.0</v>
      </c>
      <c r="F12" s="6">
        <v>0.6513888888888889</v>
      </c>
      <c r="G12" s="4">
        <v>1081613.0</v>
      </c>
      <c r="H12" s="4">
        <v>1081611.0</v>
      </c>
      <c r="I12" s="4">
        <v>1081815.0</v>
      </c>
      <c r="J12" s="4">
        <v>1081610.0</v>
      </c>
      <c r="K12" s="1" t="s">
        <v>77</v>
      </c>
      <c r="L12" s="1" t="s">
        <v>77</v>
      </c>
      <c r="M12" s="1" t="s">
        <v>77</v>
      </c>
      <c r="N12" s="1" t="s">
        <v>77</v>
      </c>
      <c r="O12" s="4">
        <v>15.5</v>
      </c>
      <c r="P12" s="1" t="s">
        <v>77</v>
      </c>
      <c r="Q12" s="1" t="s">
        <v>77</v>
      </c>
      <c r="R12" s="4">
        <v>50.0</v>
      </c>
      <c r="S12" s="4">
        <v>536.0</v>
      </c>
      <c r="T12" s="4">
        <v>23.8</v>
      </c>
      <c r="U12" s="4">
        <v>539.0</v>
      </c>
      <c r="V12" s="4">
        <v>22.9</v>
      </c>
      <c r="W12" s="4">
        <v>1.5</v>
      </c>
      <c r="X12" s="4">
        <v>0.0256</v>
      </c>
      <c r="Y12" s="1" t="s">
        <v>77</v>
      </c>
      <c r="Z12" s="1" t="s">
        <v>77</v>
      </c>
      <c r="AA12" s="4">
        <v>1.4</v>
      </c>
      <c r="AB12" s="4">
        <v>0.14</v>
      </c>
      <c r="AC12" s="4">
        <v>0.02</v>
      </c>
      <c r="AD12" s="4">
        <v>0.28</v>
      </c>
      <c r="AE12" s="4">
        <v>0.015</v>
      </c>
      <c r="AF12" s="4">
        <v>0.42</v>
      </c>
      <c r="AG12" s="4">
        <v>0.005</v>
      </c>
      <c r="AH12" s="4">
        <v>0.56</v>
      </c>
      <c r="AI12" s="4">
        <v>0.005</v>
      </c>
      <c r="AJ12" s="4">
        <v>0.7</v>
      </c>
      <c r="AK12" s="4">
        <v>0.015</v>
      </c>
      <c r="AL12" s="4">
        <v>0.84</v>
      </c>
      <c r="AM12" s="4">
        <v>0.035</v>
      </c>
      <c r="AN12" s="4">
        <v>0.98</v>
      </c>
      <c r="AO12" s="4">
        <v>0.045</v>
      </c>
      <c r="AP12" s="4">
        <v>1.12</v>
      </c>
      <c r="AQ12" s="4">
        <v>0.045</v>
      </c>
      <c r="AR12" s="4">
        <v>1.26</v>
      </c>
      <c r="AS12" s="4">
        <v>0.045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</row>
    <row r="13">
      <c r="A13" s="1" t="s">
        <v>88</v>
      </c>
      <c r="B13" s="4">
        <v>39.08724</v>
      </c>
      <c r="C13" s="4">
        <v>-96.5914</v>
      </c>
      <c r="D13" s="2" t="s">
        <v>76</v>
      </c>
      <c r="E13" s="5">
        <v>44357.0</v>
      </c>
      <c r="F13" s="6">
        <v>0.44027777777777777</v>
      </c>
      <c r="G13" s="4">
        <v>1081629.0</v>
      </c>
      <c r="H13" s="4">
        <v>1081621.0</v>
      </c>
      <c r="I13" s="4">
        <v>1081615.0</v>
      </c>
      <c r="J13" s="4">
        <v>1081622.0</v>
      </c>
      <c r="K13" s="1" t="s">
        <v>77</v>
      </c>
      <c r="L13" s="1" t="s">
        <v>77</v>
      </c>
      <c r="M13" s="1" t="s">
        <v>77</v>
      </c>
      <c r="N13" s="1" t="s">
        <v>77</v>
      </c>
      <c r="O13" s="4">
        <v>21.0</v>
      </c>
      <c r="P13" s="1" t="s">
        <v>77</v>
      </c>
      <c r="Q13" s="1" t="s">
        <v>77</v>
      </c>
      <c r="R13" s="4">
        <v>35.56</v>
      </c>
      <c r="S13" s="4">
        <v>565.0</v>
      </c>
      <c r="T13" s="4">
        <v>19.2</v>
      </c>
      <c r="U13" s="4">
        <v>564.0</v>
      </c>
      <c r="V13" s="4">
        <v>19.9</v>
      </c>
      <c r="W13" s="4">
        <v>1.4</v>
      </c>
      <c r="X13" s="4">
        <v>0.025</v>
      </c>
      <c r="Y13" s="1" t="s">
        <v>77</v>
      </c>
      <c r="Z13" s="1" t="s">
        <v>77</v>
      </c>
      <c r="AA13" s="4">
        <v>1.18</v>
      </c>
      <c r="AB13" s="4">
        <v>0.1</v>
      </c>
      <c r="AC13" s="4">
        <v>0.014</v>
      </c>
      <c r="AD13" s="4">
        <v>0.2</v>
      </c>
      <c r="AE13" s="4">
        <v>0.025</v>
      </c>
      <c r="AF13" s="4">
        <v>0.3</v>
      </c>
      <c r="AG13" s="4">
        <v>0.028</v>
      </c>
      <c r="AH13" s="4">
        <v>0.4</v>
      </c>
      <c r="AI13" s="4">
        <v>0.02</v>
      </c>
      <c r="AJ13" s="4">
        <v>0.5</v>
      </c>
      <c r="AK13" s="4">
        <v>0.028</v>
      </c>
      <c r="AL13" s="4">
        <v>0.6</v>
      </c>
      <c r="AM13" s="4">
        <v>0.019</v>
      </c>
      <c r="AN13" s="4">
        <v>0.7</v>
      </c>
      <c r="AO13" s="4">
        <v>0.025</v>
      </c>
      <c r="AP13" s="4">
        <v>0.8</v>
      </c>
      <c r="AQ13" s="4">
        <v>0.043</v>
      </c>
      <c r="AR13" s="4">
        <v>0.9</v>
      </c>
      <c r="AS13" s="4">
        <v>0.035</v>
      </c>
      <c r="AT13" s="4">
        <v>1.0</v>
      </c>
      <c r="AU13" s="4">
        <v>0.02</v>
      </c>
      <c r="AV13" s="4">
        <v>1.1</v>
      </c>
      <c r="AW13" s="4">
        <v>0.02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>
      <c r="A14" s="1" t="s">
        <v>89</v>
      </c>
      <c r="B14" s="4">
        <v>39.08648</v>
      </c>
      <c r="C14" s="4">
        <v>-96.5925</v>
      </c>
      <c r="D14" s="2" t="s">
        <v>76</v>
      </c>
      <c r="E14" s="5">
        <v>44357.0</v>
      </c>
      <c r="F14" s="6">
        <v>0.48819444444444443</v>
      </c>
      <c r="G14" s="4">
        <v>1081629.0</v>
      </c>
      <c r="H14" s="4">
        <v>1081621.0</v>
      </c>
      <c r="I14" s="4">
        <v>1081615.0</v>
      </c>
      <c r="J14" s="4">
        <v>1081622.0</v>
      </c>
      <c r="K14" s="4">
        <v>1081633.0</v>
      </c>
      <c r="L14" s="4">
        <v>1081015.0</v>
      </c>
      <c r="M14" s="4">
        <v>1081016.0</v>
      </c>
      <c r="N14" s="4">
        <v>1081642.0</v>
      </c>
      <c r="O14" s="4">
        <v>60.0</v>
      </c>
      <c r="P14" s="4">
        <v>20.0</v>
      </c>
      <c r="Q14" s="4">
        <v>40.0</v>
      </c>
      <c r="R14" s="4">
        <v>86.03</v>
      </c>
      <c r="S14" s="4">
        <v>570.0</v>
      </c>
      <c r="T14" s="4">
        <v>18.3</v>
      </c>
      <c r="U14" s="4">
        <v>569.0</v>
      </c>
      <c r="V14" s="4">
        <v>18.7</v>
      </c>
      <c r="W14" s="4">
        <v>1.24</v>
      </c>
      <c r="X14" s="4">
        <v>0.207</v>
      </c>
      <c r="Y14" s="1" t="s">
        <v>77</v>
      </c>
      <c r="Z14" s="1" t="s">
        <v>77</v>
      </c>
      <c r="AA14" s="4">
        <v>1.9</v>
      </c>
      <c r="AB14" s="4">
        <v>0.1</v>
      </c>
      <c r="AC14" s="4">
        <v>0.15</v>
      </c>
      <c r="AD14" s="4">
        <v>0.19</v>
      </c>
      <c r="AE14" s="4">
        <v>0.19</v>
      </c>
      <c r="AF14" s="4">
        <v>0.38</v>
      </c>
      <c r="AG14" s="4">
        <v>0.25</v>
      </c>
      <c r="AH14" s="4">
        <v>0.57</v>
      </c>
      <c r="AI14" s="4">
        <v>0.28</v>
      </c>
      <c r="AJ14" s="4">
        <v>0.76</v>
      </c>
      <c r="AK14" s="4">
        <v>0.305</v>
      </c>
      <c r="AL14" s="4">
        <v>0.95</v>
      </c>
      <c r="AM14" s="4">
        <v>0.305</v>
      </c>
      <c r="AN14" s="4">
        <v>1.14</v>
      </c>
      <c r="AO14" s="4">
        <v>0.275</v>
      </c>
      <c r="AP14" s="4">
        <v>1.33</v>
      </c>
      <c r="AQ14" s="4">
        <v>0.19</v>
      </c>
      <c r="AR14" s="4">
        <v>1.52</v>
      </c>
      <c r="AS14" s="4">
        <v>0.11</v>
      </c>
      <c r="AT14" s="4">
        <v>1.78</v>
      </c>
      <c r="AU14" s="4">
        <v>0.015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>
      <c r="A15" s="1" t="s">
        <v>90</v>
      </c>
      <c r="B15" s="4">
        <v>39.08557</v>
      </c>
      <c r="C15" s="4">
        <v>-96.5929</v>
      </c>
      <c r="D15" s="2" t="s">
        <v>91</v>
      </c>
      <c r="E15" s="1" t="s">
        <v>77</v>
      </c>
      <c r="F15" s="1" t="s">
        <v>77</v>
      </c>
      <c r="G15" s="1" t="s">
        <v>77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77</v>
      </c>
      <c r="P15" s="1" t="s">
        <v>77</v>
      </c>
      <c r="Q15" s="1" t="s">
        <v>77</v>
      </c>
      <c r="R15" s="1" t="s">
        <v>77</v>
      </c>
      <c r="S15" s="1" t="s">
        <v>77</v>
      </c>
      <c r="T15" s="1" t="s">
        <v>77</v>
      </c>
      <c r="U15" s="1" t="s">
        <v>77</v>
      </c>
      <c r="V15" s="1" t="s">
        <v>77</v>
      </c>
      <c r="W15" s="1" t="s">
        <v>77</v>
      </c>
      <c r="X15" s="1" t="s">
        <v>77</v>
      </c>
      <c r="Y15" s="1" t="s">
        <v>77</v>
      </c>
      <c r="Z15" s="1" t="s">
        <v>77</v>
      </c>
      <c r="AA15" s="4">
        <v>1.13</v>
      </c>
      <c r="AB15" s="4">
        <v>0.05</v>
      </c>
      <c r="AC15" s="4">
        <v>0.024</v>
      </c>
      <c r="AD15" s="4">
        <v>0.15</v>
      </c>
      <c r="AE15" s="4">
        <v>0.016</v>
      </c>
      <c r="AF15" s="4">
        <v>0.25</v>
      </c>
      <c r="AG15" s="4">
        <v>0.054</v>
      </c>
      <c r="AH15" s="4">
        <v>0.35</v>
      </c>
      <c r="AI15" s="4">
        <v>0.087</v>
      </c>
      <c r="AJ15" s="4">
        <v>0.45</v>
      </c>
      <c r="AK15" s="4">
        <v>0.125</v>
      </c>
      <c r="AL15" s="4">
        <v>0.55</v>
      </c>
      <c r="AM15" s="4">
        <v>0.124</v>
      </c>
      <c r="AN15" s="4">
        <v>0.65</v>
      </c>
      <c r="AO15" s="4">
        <v>0.159</v>
      </c>
      <c r="AP15" s="4">
        <v>0.75</v>
      </c>
      <c r="AQ15" s="4">
        <v>0.15</v>
      </c>
      <c r="AR15" s="4">
        <v>0.83</v>
      </c>
      <c r="AS15" s="4">
        <v>0.13</v>
      </c>
      <c r="AT15" s="4">
        <v>0.95</v>
      </c>
      <c r="AU15" s="4">
        <v>0.084</v>
      </c>
      <c r="AV15" s="4">
        <v>1.05</v>
      </c>
      <c r="AW15" s="4">
        <v>0.032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>
      <c r="A16" s="1" t="s">
        <v>92</v>
      </c>
      <c r="B16" s="4">
        <v>39.08482</v>
      </c>
      <c r="C16" s="4">
        <v>-96.5934</v>
      </c>
      <c r="D16" s="2" t="s">
        <v>76</v>
      </c>
      <c r="E16" s="5">
        <v>44357.0</v>
      </c>
      <c r="F16" s="6">
        <v>0.5916666666666667</v>
      </c>
      <c r="G16" s="4">
        <v>1081629.0</v>
      </c>
      <c r="H16" s="4">
        <v>1081621.0</v>
      </c>
      <c r="I16" s="4">
        <v>1081615.0</v>
      </c>
      <c r="J16" s="4">
        <v>1081622.0</v>
      </c>
      <c r="K16" s="1" t="s">
        <v>77</v>
      </c>
      <c r="L16" s="1" t="s">
        <v>77</v>
      </c>
      <c r="M16" s="1" t="s">
        <v>77</v>
      </c>
      <c r="N16" s="1" t="s">
        <v>77</v>
      </c>
      <c r="O16" s="4">
        <v>23.0</v>
      </c>
      <c r="P16" s="1" t="s">
        <v>77</v>
      </c>
      <c r="Q16" s="1" t="s">
        <v>77</v>
      </c>
      <c r="R16" s="4">
        <v>25.0</v>
      </c>
      <c r="S16" s="4">
        <v>573.0</v>
      </c>
      <c r="T16" s="4">
        <v>17.6</v>
      </c>
      <c r="U16" s="4">
        <v>572.0</v>
      </c>
      <c r="V16" s="4">
        <v>18.6</v>
      </c>
      <c r="W16" s="1" t="s">
        <v>77</v>
      </c>
      <c r="X16" s="4">
        <v>0.059</v>
      </c>
      <c r="Y16" s="1" t="s">
        <v>77</v>
      </c>
      <c r="Z16" s="1" t="s">
        <v>77</v>
      </c>
      <c r="AA16" s="4">
        <v>0.5</v>
      </c>
      <c r="AB16" s="4">
        <v>0.025</v>
      </c>
      <c r="AC16" s="4">
        <v>0.094</v>
      </c>
      <c r="AD16" s="4">
        <v>0.075</v>
      </c>
      <c r="AE16" s="4">
        <v>0.1</v>
      </c>
      <c r="AF16" s="4">
        <v>0.125</v>
      </c>
      <c r="AG16" s="4">
        <v>0.12</v>
      </c>
      <c r="AH16" s="4">
        <v>0.175</v>
      </c>
      <c r="AI16" s="4">
        <v>0.08</v>
      </c>
      <c r="AJ16" s="4">
        <v>0.225</v>
      </c>
      <c r="AK16" s="4">
        <v>0.03</v>
      </c>
      <c r="AL16" s="4">
        <v>0.275</v>
      </c>
      <c r="AM16" s="4">
        <v>0.05</v>
      </c>
      <c r="AN16" s="4">
        <v>0.325</v>
      </c>
      <c r="AO16" s="4">
        <v>0.055</v>
      </c>
      <c r="AP16" s="4">
        <v>0.375</v>
      </c>
      <c r="AQ16" s="4">
        <v>0.034</v>
      </c>
      <c r="AR16" s="4">
        <v>0.425</v>
      </c>
      <c r="AS16" s="4">
        <v>0.015</v>
      </c>
      <c r="AT16" s="4">
        <v>0.475</v>
      </c>
      <c r="AU16" s="4">
        <v>0.008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</row>
    <row r="17">
      <c r="A17" s="1" t="s">
        <v>93</v>
      </c>
      <c r="B17" s="4">
        <v>39.08251</v>
      </c>
      <c r="C17" s="4">
        <v>-96.5936</v>
      </c>
      <c r="D17" s="2" t="s">
        <v>76</v>
      </c>
      <c r="E17" s="5">
        <v>44357.0</v>
      </c>
      <c r="F17" s="6">
        <v>0.6354166666666666</v>
      </c>
      <c r="G17" s="4">
        <v>1081629.0</v>
      </c>
      <c r="H17" s="4">
        <v>1081621.0</v>
      </c>
      <c r="I17" s="4">
        <v>1081615.0</v>
      </c>
      <c r="J17" s="4">
        <v>1081622.0</v>
      </c>
      <c r="K17" s="1" t="s">
        <v>77</v>
      </c>
      <c r="L17" s="1" t="s">
        <v>77</v>
      </c>
      <c r="M17" s="1" t="s">
        <v>77</v>
      </c>
      <c r="N17" s="1" t="s">
        <v>77</v>
      </c>
      <c r="O17" s="4">
        <v>12.0</v>
      </c>
      <c r="P17" s="1" t="s">
        <v>77</v>
      </c>
      <c r="Q17" s="1" t="s">
        <v>77</v>
      </c>
      <c r="R17" s="4">
        <v>25.0</v>
      </c>
      <c r="S17" s="4">
        <v>543.0</v>
      </c>
      <c r="T17" s="4">
        <v>17.3</v>
      </c>
      <c r="U17" s="4">
        <v>542.0</v>
      </c>
      <c r="V17" s="4">
        <v>17.8</v>
      </c>
      <c r="W17" s="4">
        <v>0.572</v>
      </c>
      <c r="X17" s="1" t="s">
        <v>77</v>
      </c>
      <c r="Y17" s="1" t="s">
        <v>77</v>
      </c>
      <c r="Z17" s="4">
        <v>0.067</v>
      </c>
      <c r="AA17" s="4"/>
      <c r="AB17" s="4">
        <v>0.08</v>
      </c>
      <c r="AC17" s="4">
        <v>0.035</v>
      </c>
      <c r="AD17" s="4">
        <v>0.24</v>
      </c>
      <c r="AE17" s="4">
        <v>0.038</v>
      </c>
      <c r="AF17" s="4">
        <v>0.4</v>
      </c>
      <c r="AG17" s="4">
        <v>0.039</v>
      </c>
      <c r="AH17" s="4">
        <v>0.56</v>
      </c>
      <c r="AI17" s="4">
        <v>0.061</v>
      </c>
      <c r="AJ17" s="4">
        <v>0.72</v>
      </c>
      <c r="AK17" s="4">
        <v>0.08</v>
      </c>
      <c r="AL17" s="4">
        <v>0.88</v>
      </c>
      <c r="AM17" s="4">
        <v>0.085</v>
      </c>
      <c r="AN17" s="4">
        <v>1.04</v>
      </c>
      <c r="AO17" s="4">
        <v>0.092</v>
      </c>
      <c r="AP17" s="4" t="s">
        <v>94</v>
      </c>
      <c r="AQ17" s="4">
        <v>0.103</v>
      </c>
      <c r="AR17" s="4">
        <v>1.36</v>
      </c>
      <c r="AS17" s="4">
        <v>0.083</v>
      </c>
      <c r="AT17" s="4">
        <v>1.52</v>
      </c>
      <c r="AU17" s="4">
        <v>0.053</v>
      </c>
      <c r="AV17" s="4"/>
      <c r="AW17" s="4"/>
      <c r="AX17" s="4">
        <v>1.68</v>
      </c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</row>
    <row r="18">
      <c r="A18" s="1" t="s">
        <v>95</v>
      </c>
      <c r="B18" s="4">
        <v>39.07925</v>
      </c>
      <c r="C18" s="4">
        <v>-96.5937</v>
      </c>
      <c r="D18" s="2" t="s">
        <v>76</v>
      </c>
      <c r="E18" s="5">
        <v>44357.0</v>
      </c>
      <c r="F18" s="6">
        <v>0.6708333333333333</v>
      </c>
      <c r="G18" s="4">
        <v>1081629.0</v>
      </c>
      <c r="H18" s="4">
        <v>1081621.0</v>
      </c>
      <c r="I18" s="4">
        <v>1081615.0</v>
      </c>
      <c r="J18" s="4">
        <v>1081622.0</v>
      </c>
      <c r="K18" s="1" t="s">
        <v>77</v>
      </c>
      <c r="L18" s="1" t="s">
        <v>77</v>
      </c>
      <c r="M18" s="1" t="s">
        <v>77</v>
      </c>
      <c r="N18" s="1" t="s">
        <v>77</v>
      </c>
      <c r="O18" s="4">
        <v>6.4</v>
      </c>
      <c r="P18" s="1" t="s">
        <v>77</v>
      </c>
      <c r="Q18" s="1" t="s">
        <v>77</v>
      </c>
      <c r="R18" s="4">
        <v>10.17</v>
      </c>
      <c r="S18" s="4">
        <v>570.0</v>
      </c>
      <c r="T18" s="4">
        <v>23.4</v>
      </c>
      <c r="U18" s="4">
        <v>566.0</v>
      </c>
      <c r="V18" s="4">
        <v>24.9</v>
      </c>
      <c r="W18" s="4">
        <v>0.346</v>
      </c>
      <c r="X18" s="4">
        <v>0.012</v>
      </c>
      <c r="Y18" s="1" t="s">
        <v>77</v>
      </c>
      <c r="Z18" s="1" t="s">
        <v>77</v>
      </c>
      <c r="AA18" s="4">
        <v>0.44</v>
      </c>
      <c r="AB18" s="4">
        <v>0.02</v>
      </c>
      <c r="AC18" s="4">
        <v>0.012</v>
      </c>
      <c r="AD18" s="4">
        <v>0.06</v>
      </c>
      <c r="AE18" s="4">
        <v>0.025</v>
      </c>
      <c r="AF18" s="4">
        <v>0.1</v>
      </c>
      <c r="AG18" s="4">
        <v>0.02</v>
      </c>
      <c r="AH18" s="4">
        <v>0.14</v>
      </c>
      <c r="AI18" s="4">
        <v>0.014</v>
      </c>
      <c r="AJ18" s="4">
        <v>0.18</v>
      </c>
      <c r="AK18" s="4">
        <v>0.019</v>
      </c>
      <c r="AL18" s="4">
        <v>0.22</v>
      </c>
      <c r="AM18" s="4">
        <v>0.011</v>
      </c>
      <c r="AN18" s="4">
        <v>0.26</v>
      </c>
      <c r="AO18" s="4">
        <v>0.005</v>
      </c>
      <c r="AP18" s="4">
        <v>0.3</v>
      </c>
      <c r="AQ18" s="4">
        <v>0.002</v>
      </c>
      <c r="AR18" s="4">
        <v>0.34</v>
      </c>
      <c r="AS18" s="4">
        <v>0.009</v>
      </c>
      <c r="AT18" s="4">
        <v>0.38</v>
      </c>
      <c r="AU18" s="4">
        <v>0.008</v>
      </c>
      <c r="AV18" s="4">
        <v>0.42</v>
      </c>
      <c r="AW18" s="4">
        <v>0.002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</row>
    <row r="19">
      <c r="A19" s="1" t="s">
        <v>96</v>
      </c>
      <c r="B19" s="4">
        <v>39.08984</v>
      </c>
      <c r="C19" s="4">
        <v>-96.5862</v>
      </c>
      <c r="D19" s="2" t="s">
        <v>76</v>
      </c>
      <c r="E19" s="5">
        <v>44355.0</v>
      </c>
      <c r="F19" s="6">
        <v>0.48055555555555557</v>
      </c>
      <c r="G19" s="4">
        <v>1081615.0</v>
      </c>
      <c r="H19" s="4">
        <v>1081623.0</v>
      </c>
      <c r="I19" s="4">
        <v>1081622.0</v>
      </c>
      <c r="J19" s="4">
        <v>1081011.0</v>
      </c>
      <c r="K19" s="4">
        <v>1081629.0</v>
      </c>
      <c r="L19" s="4">
        <v>1081633.0</v>
      </c>
      <c r="M19" s="4">
        <v>1081621.0</v>
      </c>
      <c r="N19" s="4">
        <v>1081015.0</v>
      </c>
      <c r="O19" s="4">
        <v>197.0</v>
      </c>
      <c r="P19" s="4">
        <v>72.0</v>
      </c>
      <c r="Q19" s="4">
        <v>137.0</v>
      </c>
      <c r="R19" s="4">
        <v>150.01</v>
      </c>
      <c r="S19" s="4">
        <v>527.0</v>
      </c>
      <c r="T19" s="4">
        <v>18.8</v>
      </c>
      <c r="U19" s="4">
        <v>528.0</v>
      </c>
      <c r="V19" s="4">
        <v>17.7</v>
      </c>
      <c r="W19" s="4">
        <v>3.29</v>
      </c>
      <c r="X19" s="1" t="s">
        <v>77</v>
      </c>
      <c r="Y19" s="4">
        <v>0.269</v>
      </c>
      <c r="Z19" s="4">
        <v>0.102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>
      <c r="A20" s="1" t="s">
        <v>97</v>
      </c>
      <c r="B20" s="4">
        <v>39.08775</v>
      </c>
      <c r="C20" s="4">
        <v>-96.5848</v>
      </c>
      <c r="D20" s="2" t="s">
        <v>76</v>
      </c>
      <c r="E20" s="5">
        <v>44355.0</v>
      </c>
      <c r="F20" s="6">
        <v>0.5993055555555555</v>
      </c>
      <c r="G20" s="4">
        <v>1081615.0</v>
      </c>
      <c r="H20" s="4">
        <v>1081623.0</v>
      </c>
      <c r="I20" s="4">
        <v>1081621.0</v>
      </c>
      <c r="J20" s="4">
        <v>1081015.0</v>
      </c>
      <c r="K20" s="1" t="s">
        <v>77</v>
      </c>
      <c r="L20" s="1" t="s">
        <v>77</v>
      </c>
      <c r="M20" s="1" t="s">
        <v>77</v>
      </c>
      <c r="N20" s="1" t="s">
        <v>77</v>
      </c>
      <c r="O20" s="4">
        <v>30.0</v>
      </c>
      <c r="P20" s="1" t="s">
        <v>77</v>
      </c>
      <c r="Q20" s="1" t="s">
        <v>77</v>
      </c>
      <c r="R20" s="4">
        <v>75.2</v>
      </c>
      <c r="S20" s="1" t="s">
        <v>77</v>
      </c>
      <c r="T20" s="1" t="s">
        <v>77</v>
      </c>
      <c r="U20" s="4">
        <v>538.0</v>
      </c>
      <c r="V20" s="4">
        <v>25.5</v>
      </c>
      <c r="W20" s="4">
        <v>1.25</v>
      </c>
      <c r="X20" s="4">
        <v>0.071</v>
      </c>
      <c r="Y20" s="1" t="s">
        <v>77</v>
      </c>
      <c r="Z20" s="1" t="s">
        <v>77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>
      <c r="A21" s="1" t="s">
        <v>98</v>
      </c>
      <c r="B21" s="4">
        <v>39.08685</v>
      </c>
      <c r="C21" s="4">
        <v>-96.5837</v>
      </c>
      <c r="D21" s="2" t="s">
        <v>76</v>
      </c>
      <c r="E21" s="5">
        <v>44355.0</v>
      </c>
      <c r="F21" s="6">
        <v>0.6284722222222222</v>
      </c>
      <c r="G21" s="4">
        <v>1081615.0</v>
      </c>
      <c r="H21" s="4">
        <v>1081633.0</v>
      </c>
      <c r="I21" s="4">
        <v>1081629.0</v>
      </c>
      <c r="J21" s="4">
        <v>1081623.0</v>
      </c>
      <c r="K21" s="1" t="s">
        <v>77</v>
      </c>
      <c r="L21" s="1" t="s">
        <v>77</v>
      </c>
      <c r="M21" s="1" t="s">
        <v>77</v>
      </c>
      <c r="N21" s="1" t="s">
        <v>77</v>
      </c>
      <c r="O21" s="4">
        <v>44.0</v>
      </c>
      <c r="P21" s="1" t="s">
        <v>77</v>
      </c>
      <c r="Q21" s="1" t="s">
        <v>77</v>
      </c>
      <c r="R21" s="4">
        <v>75.2</v>
      </c>
      <c r="S21" s="1" t="s">
        <v>77</v>
      </c>
      <c r="T21" s="1" t="s">
        <v>77</v>
      </c>
      <c r="U21" s="4">
        <v>540.0</v>
      </c>
      <c r="V21" s="4">
        <v>22.0</v>
      </c>
      <c r="W21" s="4">
        <v>2.24</v>
      </c>
      <c r="X21" s="4">
        <v>0.0714</v>
      </c>
      <c r="Y21" s="1" t="s">
        <v>77</v>
      </c>
      <c r="Z21" s="1" t="s">
        <v>77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>
      <c r="A22" s="1" t="s">
        <v>99</v>
      </c>
      <c r="B22" s="4">
        <v>39.08576</v>
      </c>
      <c r="C22" s="4">
        <v>-96.5835</v>
      </c>
      <c r="D22" s="2" t="s">
        <v>76</v>
      </c>
      <c r="E22" s="5">
        <v>44355.0</v>
      </c>
      <c r="F22" s="6">
        <v>0.6638888888888889</v>
      </c>
      <c r="G22" s="4">
        <v>1081615.0</v>
      </c>
      <c r="H22" s="4">
        <v>1081629.0</v>
      </c>
      <c r="I22" s="4">
        <v>1081621.0</v>
      </c>
      <c r="J22" s="4">
        <v>1081015.0</v>
      </c>
      <c r="K22" s="1" t="s">
        <v>77</v>
      </c>
      <c r="L22" s="1" t="s">
        <v>77</v>
      </c>
      <c r="M22" s="1" t="s">
        <v>77</v>
      </c>
      <c r="N22" s="1" t="s">
        <v>77</v>
      </c>
      <c r="O22" s="4">
        <v>13.0</v>
      </c>
      <c r="P22" s="1" t="s">
        <v>77</v>
      </c>
      <c r="Q22" s="1" t="s">
        <v>77</v>
      </c>
      <c r="R22" s="4">
        <v>25.41</v>
      </c>
      <c r="S22" s="1" t="s">
        <v>77</v>
      </c>
      <c r="T22" s="1" t="s">
        <v>77</v>
      </c>
      <c r="U22" s="4">
        <v>524.5</v>
      </c>
      <c r="V22" s="4">
        <v>20.7</v>
      </c>
      <c r="W22" s="4">
        <v>0.65</v>
      </c>
      <c r="X22" s="4">
        <v>0.095</v>
      </c>
      <c r="Y22" s="1" t="s">
        <v>77</v>
      </c>
      <c r="Z22" s="1" t="s">
        <v>77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>
      <c r="A23" s="1" t="s">
        <v>100</v>
      </c>
      <c r="B23" s="4">
        <v>39.08502</v>
      </c>
      <c r="C23" s="4">
        <v>-96.5831</v>
      </c>
      <c r="D23" s="2" t="s">
        <v>76</v>
      </c>
      <c r="E23" s="5">
        <v>44355.0</v>
      </c>
      <c r="F23" s="6">
        <v>0.6888888888888889</v>
      </c>
      <c r="G23" s="4">
        <v>1081015.0</v>
      </c>
      <c r="H23" s="4">
        <v>1081615.0</v>
      </c>
      <c r="I23" s="4">
        <v>1081633.0</v>
      </c>
      <c r="J23" s="4">
        <v>1081621.0</v>
      </c>
      <c r="K23" s="1" t="s">
        <v>77</v>
      </c>
      <c r="L23" s="1" t="s">
        <v>77</v>
      </c>
      <c r="M23" s="1" t="s">
        <v>77</v>
      </c>
      <c r="N23" s="1" t="s">
        <v>77</v>
      </c>
      <c r="O23" s="4">
        <v>17.0</v>
      </c>
      <c r="P23" s="1" t="s">
        <v>77</v>
      </c>
      <c r="Q23" s="1" t="s">
        <v>77</v>
      </c>
      <c r="R23" s="4">
        <v>100.13</v>
      </c>
      <c r="S23" s="1" t="s">
        <v>77</v>
      </c>
      <c r="T23" s="1" t="s">
        <v>77</v>
      </c>
      <c r="U23" s="4">
        <v>514.5</v>
      </c>
      <c r="V23" s="4">
        <v>19.7</v>
      </c>
      <c r="W23" s="4">
        <v>0.534</v>
      </c>
      <c r="X23" s="4">
        <v>0.076</v>
      </c>
      <c r="Y23" s="1" t="s">
        <v>77</v>
      </c>
      <c r="Z23" s="1" t="s">
        <v>77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</row>
    <row r="24">
      <c r="A24" s="1" t="s">
        <v>101</v>
      </c>
      <c r="B24" s="4">
        <v>39.08426</v>
      </c>
      <c r="C24" s="4">
        <v>-96.5834</v>
      </c>
      <c r="D24" s="2" t="s">
        <v>76</v>
      </c>
      <c r="E24" s="5">
        <v>44355.0</v>
      </c>
      <c r="F24" s="6">
        <v>0.7395833333333334</v>
      </c>
      <c r="G24" s="4">
        <v>1061015.0</v>
      </c>
      <c r="H24" s="4">
        <v>1081623.0</v>
      </c>
      <c r="I24" s="4">
        <v>1081629.0</v>
      </c>
      <c r="J24" s="4">
        <v>1081642.0</v>
      </c>
      <c r="K24" s="4">
        <v>1081621.0</v>
      </c>
      <c r="L24" s="4">
        <v>1081633.0</v>
      </c>
      <c r="M24" s="4">
        <v>1081622.0</v>
      </c>
      <c r="N24" s="4">
        <v>1081613.0</v>
      </c>
      <c r="O24" s="4">
        <v>121.0</v>
      </c>
      <c r="P24" s="4">
        <v>41.0</v>
      </c>
      <c r="Q24" s="4">
        <v>81.0</v>
      </c>
      <c r="R24" s="4">
        <v>200.43</v>
      </c>
      <c r="S24" s="1" t="s">
        <v>77</v>
      </c>
      <c r="T24" s="1" t="s">
        <v>77</v>
      </c>
      <c r="U24" s="1" t="s">
        <v>77</v>
      </c>
      <c r="V24" s="1" t="s">
        <v>77</v>
      </c>
      <c r="W24" s="4">
        <v>2.08</v>
      </c>
      <c r="X24" s="1" t="s">
        <v>77</v>
      </c>
      <c r="Y24" s="4">
        <v>0.121</v>
      </c>
      <c r="Z24" s="4">
        <v>0.082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</row>
    <row r="25">
      <c r="A25" s="1" t="s">
        <v>102</v>
      </c>
      <c r="B25" s="4">
        <v>39.08278</v>
      </c>
      <c r="C25" s="4">
        <v>-96.5825</v>
      </c>
      <c r="D25" s="2" t="s">
        <v>76</v>
      </c>
      <c r="E25" s="5">
        <v>44356.0</v>
      </c>
      <c r="F25" s="6">
        <v>0.43819444444444444</v>
      </c>
      <c r="G25" s="4">
        <v>1081621.0</v>
      </c>
      <c r="H25" s="4">
        <v>1081615.0</v>
      </c>
      <c r="I25" s="4">
        <v>1081016.0</v>
      </c>
      <c r="J25" s="4">
        <v>1081015.0</v>
      </c>
      <c r="K25" s="1" t="s">
        <v>77</v>
      </c>
      <c r="L25" s="1" t="s">
        <v>77</v>
      </c>
      <c r="M25" s="1" t="s">
        <v>77</v>
      </c>
      <c r="N25" s="1" t="s">
        <v>77</v>
      </c>
      <c r="O25" s="4">
        <v>22.0</v>
      </c>
      <c r="P25" s="1" t="s">
        <v>77</v>
      </c>
      <c r="Q25" s="1" t="s">
        <v>77</v>
      </c>
      <c r="R25" s="4">
        <v>60.0</v>
      </c>
      <c r="S25" s="1" t="s">
        <v>77</v>
      </c>
      <c r="T25" s="1" t="s">
        <v>77</v>
      </c>
      <c r="U25" s="4">
        <v>453.0</v>
      </c>
      <c r="V25" s="4">
        <v>16.5</v>
      </c>
      <c r="W25" s="4">
        <v>1.35</v>
      </c>
      <c r="X25" s="4">
        <v>0.076</v>
      </c>
      <c r="Y25" s="1" t="s">
        <v>77</v>
      </c>
      <c r="Z25" s="1" t="s">
        <v>77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</row>
    <row r="26">
      <c r="A26" s="1" t="s">
        <v>103</v>
      </c>
      <c r="B26" s="4">
        <v>39.08131</v>
      </c>
      <c r="C26" s="4">
        <v>-96.5822</v>
      </c>
      <c r="D26" s="2" t="s">
        <v>76</v>
      </c>
      <c r="E26" s="5">
        <v>44356.0</v>
      </c>
      <c r="F26" s="6">
        <v>0.4909722222222222</v>
      </c>
      <c r="G26" s="4">
        <v>1081615.0</v>
      </c>
      <c r="H26" s="4">
        <v>1081629.0</v>
      </c>
      <c r="I26" s="4">
        <v>1081016.0</v>
      </c>
      <c r="J26" s="4">
        <v>1081633.0</v>
      </c>
      <c r="K26" s="1" t="s">
        <v>77</v>
      </c>
      <c r="L26" s="1" t="s">
        <v>77</v>
      </c>
      <c r="M26" s="1" t="s">
        <v>77</v>
      </c>
      <c r="N26" s="1" t="s">
        <v>77</v>
      </c>
      <c r="O26" s="4">
        <v>30.0</v>
      </c>
      <c r="P26" s="1" t="s">
        <v>77</v>
      </c>
      <c r="Q26" s="1" t="s">
        <v>77</v>
      </c>
      <c r="R26" s="4">
        <v>75.0</v>
      </c>
      <c r="S26" s="1" t="s">
        <v>77</v>
      </c>
      <c r="T26" s="1" t="s">
        <v>77</v>
      </c>
      <c r="U26" s="4">
        <v>465.0</v>
      </c>
      <c r="V26" s="4">
        <v>16.25</v>
      </c>
      <c r="W26" s="1" t="s">
        <v>77</v>
      </c>
      <c r="X26" s="1" t="s">
        <v>77</v>
      </c>
      <c r="Y26" s="4">
        <v>0.178</v>
      </c>
      <c r="Z26" s="4">
        <v>0.056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</row>
    <row r="27">
      <c r="A27" s="1" t="s">
        <v>104</v>
      </c>
      <c r="B27" s="4">
        <v>39.07994</v>
      </c>
      <c r="C27" s="4">
        <v>-96.5816</v>
      </c>
      <c r="D27" s="2" t="s">
        <v>76</v>
      </c>
      <c r="E27" s="5">
        <v>44356.0</v>
      </c>
      <c r="F27" s="6">
        <v>0.5465277777777777</v>
      </c>
      <c r="G27" s="4">
        <v>1081633.0</v>
      </c>
      <c r="H27" s="4">
        <v>1081621.0</v>
      </c>
      <c r="I27" s="4">
        <v>1081642.0</v>
      </c>
      <c r="J27" s="4">
        <v>1081015.0</v>
      </c>
      <c r="K27" s="1" t="s">
        <v>77</v>
      </c>
      <c r="L27" s="1" t="s">
        <v>77</v>
      </c>
      <c r="M27" s="1" t="s">
        <v>77</v>
      </c>
      <c r="N27" s="1" t="s">
        <v>77</v>
      </c>
      <c r="O27" s="4">
        <v>20.0</v>
      </c>
      <c r="P27" s="1" t="s">
        <v>77</v>
      </c>
      <c r="Q27" s="1" t="s">
        <v>77</v>
      </c>
      <c r="R27" s="4">
        <v>25.0</v>
      </c>
      <c r="S27" s="1" t="s">
        <v>77</v>
      </c>
      <c r="T27" s="1" t="s">
        <v>77</v>
      </c>
      <c r="U27" s="4">
        <v>523.0</v>
      </c>
      <c r="V27" s="4">
        <v>22.0</v>
      </c>
      <c r="W27" s="4">
        <v>0.96</v>
      </c>
      <c r="X27" s="1" t="s">
        <v>77</v>
      </c>
      <c r="Y27" s="4">
        <v>0.244</v>
      </c>
      <c r="Z27" s="4">
        <v>0.148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>
      <c r="A28" s="1" t="s">
        <v>105</v>
      </c>
      <c r="B28" s="4">
        <v>39.07743</v>
      </c>
      <c r="C28" s="4">
        <v>-96.5829</v>
      </c>
      <c r="D28" s="2" t="s">
        <v>76</v>
      </c>
      <c r="E28" s="5">
        <v>44356.0</v>
      </c>
      <c r="F28" s="6">
        <v>0.5930555555555556</v>
      </c>
      <c r="G28" s="4">
        <v>1081622.0</v>
      </c>
      <c r="H28" s="4">
        <v>1081015.0</v>
      </c>
      <c r="I28" s="4">
        <v>1081621.0</v>
      </c>
      <c r="J28" s="4">
        <v>1081615.0</v>
      </c>
      <c r="K28" s="1" t="s">
        <v>77</v>
      </c>
      <c r="L28" s="1" t="s">
        <v>77</v>
      </c>
      <c r="M28" s="1" t="s">
        <v>77</v>
      </c>
      <c r="N28" s="1" t="s">
        <v>77</v>
      </c>
      <c r="O28" s="4">
        <v>7.0</v>
      </c>
      <c r="P28" s="1" t="s">
        <v>77</v>
      </c>
      <c r="Q28" s="1" t="s">
        <v>77</v>
      </c>
      <c r="R28" s="4">
        <v>24.88</v>
      </c>
      <c r="S28" s="1" t="s">
        <v>77</v>
      </c>
      <c r="T28" s="1" t="s">
        <v>77</v>
      </c>
      <c r="U28" s="4">
        <v>509.5</v>
      </c>
      <c r="V28" s="4">
        <v>21.0</v>
      </c>
      <c r="W28" s="4">
        <v>0.53</v>
      </c>
      <c r="X28" s="4">
        <v>0.055</v>
      </c>
      <c r="Y28" s="1" t="s">
        <v>77</v>
      </c>
      <c r="Z28" s="1" t="s">
        <v>77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</row>
    <row r="29">
      <c r="A29" s="1" t="s">
        <v>106</v>
      </c>
      <c r="B29" s="4">
        <v>39.07472</v>
      </c>
      <c r="C29" s="4">
        <v>-96.5838</v>
      </c>
      <c r="D29" s="2" t="s">
        <v>76</v>
      </c>
      <c r="E29" s="5">
        <v>44356.0</v>
      </c>
      <c r="F29" s="6">
        <v>0.6180555555555556</v>
      </c>
      <c r="G29" s="4">
        <v>1081621.0</v>
      </c>
      <c r="H29" s="4">
        <v>1081015.0</v>
      </c>
      <c r="I29" s="4">
        <v>1081629.0</v>
      </c>
      <c r="J29" s="4">
        <v>1081642.0</v>
      </c>
      <c r="K29" s="1" t="s">
        <v>77</v>
      </c>
      <c r="L29" s="1" t="s">
        <v>77</v>
      </c>
      <c r="M29" s="1" t="s">
        <v>77</v>
      </c>
      <c r="N29" s="1" t="s">
        <v>77</v>
      </c>
      <c r="O29" s="4">
        <v>15.0</v>
      </c>
      <c r="P29" s="1" t="s">
        <v>77</v>
      </c>
      <c r="Q29" s="1" t="s">
        <v>77</v>
      </c>
      <c r="R29" s="4">
        <v>25.0</v>
      </c>
      <c r="S29" s="1" t="s">
        <v>77</v>
      </c>
      <c r="T29" s="1" t="s">
        <v>77</v>
      </c>
      <c r="U29" s="4">
        <v>537.0</v>
      </c>
      <c r="V29" s="4">
        <v>24.0</v>
      </c>
      <c r="W29" s="4">
        <v>0.75</v>
      </c>
      <c r="X29" s="1" t="s">
        <v>77</v>
      </c>
      <c r="Y29" s="1" t="s">
        <v>77</v>
      </c>
      <c r="Z29" s="1" t="s">
        <v>77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</row>
    <row r="30">
      <c r="A30" s="1" t="s">
        <v>107</v>
      </c>
      <c r="B30" s="4">
        <v>39.07316</v>
      </c>
      <c r="C30" s="4">
        <v>-96.5841</v>
      </c>
      <c r="D30" s="2" t="s">
        <v>76</v>
      </c>
      <c r="E30" s="5">
        <v>44356.0</v>
      </c>
      <c r="F30" s="6">
        <v>0.78125</v>
      </c>
      <c r="G30" s="4">
        <v>1081633.0</v>
      </c>
      <c r="H30" s="4">
        <v>1081542.0</v>
      </c>
      <c r="I30" s="4">
        <v>1081621.0</v>
      </c>
      <c r="J30" s="4">
        <v>1081615.0</v>
      </c>
      <c r="K30" s="4">
        <v>1081629.0</v>
      </c>
      <c r="L30" s="4">
        <v>1081622.0</v>
      </c>
      <c r="M30" s="4">
        <v>1081015.0</v>
      </c>
      <c r="N30" s="4">
        <v>1081016.0</v>
      </c>
      <c r="O30" s="4">
        <v>32.0</v>
      </c>
      <c r="P30" s="4">
        <v>12.0</v>
      </c>
      <c r="Q30" s="4">
        <v>20.0</v>
      </c>
      <c r="R30" s="4">
        <v>200.0</v>
      </c>
      <c r="S30" s="1" t="s">
        <v>77</v>
      </c>
      <c r="T30" s="1" t="s">
        <v>77</v>
      </c>
      <c r="U30" s="1" t="s">
        <v>77</v>
      </c>
      <c r="V30" s="1" t="s">
        <v>77</v>
      </c>
      <c r="W30" s="4">
        <v>0.45</v>
      </c>
      <c r="X30" s="1" t="s">
        <v>77</v>
      </c>
      <c r="Y30" s="1" t="s">
        <v>77</v>
      </c>
      <c r="Z30" s="1" t="s">
        <v>77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</row>
    <row r="31">
      <c r="A31" s="1" t="s">
        <v>108</v>
      </c>
      <c r="B31" s="4">
        <v>39.07081</v>
      </c>
      <c r="C31" s="4">
        <v>-96.5843</v>
      </c>
      <c r="D31" s="2" t="s">
        <v>109</v>
      </c>
      <c r="E31" s="1" t="s">
        <v>77</v>
      </c>
      <c r="F31" s="1" t="s">
        <v>77</v>
      </c>
      <c r="G31" s="1" t="s">
        <v>77</v>
      </c>
      <c r="H31" s="1" t="s">
        <v>77</v>
      </c>
      <c r="I31" s="1" t="s">
        <v>77</v>
      </c>
      <c r="J31" s="1" t="s">
        <v>77</v>
      </c>
      <c r="K31" s="1" t="s">
        <v>77</v>
      </c>
      <c r="L31" s="1" t="s">
        <v>77</v>
      </c>
      <c r="M31" s="1" t="s">
        <v>77</v>
      </c>
      <c r="N31" s="1" t="s">
        <v>77</v>
      </c>
      <c r="O31" s="1" t="s">
        <v>77</v>
      </c>
      <c r="P31" s="1" t="s">
        <v>77</v>
      </c>
      <c r="Q31" s="1" t="s">
        <v>77</v>
      </c>
      <c r="R31" s="1" t="s">
        <v>77</v>
      </c>
      <c r="S31" s="1" t="s">
        <v>77</v>
      </c>
      <c r="T31" s="1" t="s">
        <v>77</v>
      </c>
      <c r="U31" s="1" t="s">
        <v>77</v>
      </c>
      <c r="V31" s="1" t="s">
        <v>77</v>
      </c>
      <c r="W31" s="1" t="s">
        <v>77</v>
      </c>
      <c r="X31" s="1" t="s">
        <v>77</v>
      </c>
      <c r="Y31" s="1" t="s">
        <v>77</v>
      </c>
      <c r="Z31" s="1" t="s">
        <v>77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>
      <c r="A32" s="1" t="s">
        <v>110</v>
      </c>
      <c r="B32" s="4">
        <v>39.08236</v>
      </c>
      <c r="C32" s="4">
        <v>-96.5843</v>
      </c>
      <c r="D32" s="2" t="s">
        <v>111</v>
      </c>
      <c r="E32" s="7" t="s">
        <v>77</v>
      </c>
      <c r="F32" s="1" t="s">
        <v>77</v>
      </c>
      <c r="G32" s="1" t="s">
        <v>77</v>
      </c>
      <c r="H32" s="1" t="s">
        <v>77</v>
      </c>
      <c r="I32" s="1" t="s">
        <v>77</v>
      </c>
      <c r="J32" s="1" t="s">
        <v>77</v>
      </c>
      <c r="K32" s="1" t="s">
        <v>77</v>
      </c>
      <c r="L32" s="1" t="s">
        <v>77</v>
      </c>
      <c r="M32" s="1" t="s">
        <v>77</v>
      </c>
      <c r="N32" s="1" t="s">
        <v>77</v>
      </c>
      <c r="O32" s="1" t="s">
        <v>77</v>
      </c>
      <c r="P32" s="1" t="s">
        <v>77</v>
      </c>
      <c r="Q32" s="1" t="s">
        <v>77</v>
      </c>
      <c r="R32" s="1" t="s">
        <v>77</v>
      </c>
      <c r="S32" s="1" t="s">
        <v>77</v>
      </c>
      <c r="T32" s="1" t="s">
        <v>77</v>
      </c>
      <c r="U32" s="1" t="s">
        <v>77</v>
      </c>
      <c r="V32" s="1" t="s">
        <v>77</v>
      </c>
      <c r="W32" s="1" t="s">
        <v>77</v>
      </c>
      <c r="X32" s="1" t="s">
        <v>77</v>
      </c>
      <c r="Y32" s="1" t="s">
        <v>77</v>
      </c>
      <c r="Z32" s="1" t="s">
        <v>77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</row>
    <row r="33">
      <c r="A33" s="1" t="s">
        <v>112</v>
      </c>
      <c r="B33" s="4">
        <v>39.07977</v>
      </c>
      <c r="C33" s="4">
        <v>-96.5809</v>
      </c>
      <c r="D33" s="2" t="s">
        <v>76</v>
      </c>
      <c r="E33" s="5">
        <v>44357.0</v>
      </c>
      <c r="F33" s="6">
        <v>0.5819444444444445</v>
      </c>
      <c r="G33" s="4">
        <v>1081610.0</v>
      </c>
      <c r="H33" s="4">
        <v>1081815.0</v>
      </c>
      <c r="I33" s="4">
        <v>1081611.0</v>
      </c>
      <c r="J33" s="4">
        <v>1081613.0</v>
      </c>
      <c r="K33" s="1" t="s">
        <v>77</v>
      </c>
      <c r="L33" s="1" t="s">
        <v>77</v>
      </c>
      <c r="M33" s="1" t="s">
        <v>77</v>
      </c>
      <c r="N33" s="1" t="s">
        <v>77</v>
      </c>
      <c r="O33" s="4">
        <v>9.0</v>
      </c>
      <c r="P33" s="1" t="s">
        <v>77</v>
      </c>
      <c r="Q33" s="1" t="s">
        <v>77</v>
      </c>
      <c r="R33" s="4">
        <v>25.26</v>
      </c>
      <c r="S33" s="4">
        <v>502.0</v>
      </c>
      <c r="T33" s="4">
        <v>26.3</v>
      </c>
      <c r="U33" s="4">
        <v>497.5</v>
      </c>
      <c r="V33" s="4">
        <v>26.9</v>
      </c>
      <c r="W33" s="4">
        <v>0.52</v>
      </c>
      <c r="X33" s="1" t="s">
        <v>77</v>
      </c>
      <c r="Y33" s="4">
        <v>0.176</v>
      </c>
      <c r="Z33" s="4">
        <v>0.052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>
        <v>0.6</v>
      </c>
      <c r="AY33" s="4">
        <v>0.05</v>
      </c>
      <c r="AZ33" s="4">
        <v>0.06</v>
      </c>
      <c r="BA33" s="4">
        <v>0.07</v>
      </c>
      <c r="BB33" s="4">
        <v>0.07</v>
      </c>
      <c r="BC33" s="4">
        <v>0.05</v>
      </c>
      <c r="BD33" s="4">
        <v>0.05</v>
      </c>
      <c r="BE33" s="4">
        <v>0.04</v>
      </c>
      <c r="BF33" s="4">
        <v>0.03</v>
      </c>
      <c r="BG33" s="4">
        <v>0.06</v>
      </c>
      <c r="BH33" s="4">
        <v>0.04</v>
      </c>
      <c r="BI33" s="4"/>
      <c r="BJ33" s="4">
        <v>1.1</v>
      </c>
      <c r="BK33" s="4">
        <v>0.08</v>
      </c>
      <c r="BL33" s="4">
        <v>0.14</v>
      </c>
      <c r="BM33" s="4">
        <v>0.17</v>
      </c>
      <c r="BN33" s="4">
        <v>0.19</v>
      </c>
      <c r="BO33" s="4">
        <v>0.21</v>
      </c>
      <c r="BP33" s="4">
        <v>0.22</v>
      </c>
      <c r="BQ33" s="4">
        <v>0.24</v>
      </c>
      <c r="BR33" s="4">
        <v>0.19</v>
      </c>
      <c r="BS33" s="4">
        <v>0.15</v>
      </c>
      <c r="BT33" s="4">
        <v>0.17</v>
      </c>
      <c r="BU33" s="4"/>
      <c r="BV33" s="4"/>
      <c r="BW33" s="4"/>
    </row>
    <row r="34">
      <c r="A34" s="1" t="s">
        <v>113</v>
      </c>
      <c r="B34" s="4">
        <v>39.08816</v>
      </c>
      <c r="C34" s="4">
        <v>-96.5854</v>
      </c>
      <c r="D34" s="2" t="s">
        <v>114</v>
      </c>
      <c r="E34" s="1" t="s">
        <v>77</v>
      </c>
      <c r="F34" s="1" t="s">
        <v>77</v>
      </c>
      <c r="G34" s="1" t="s">
        <v>77</v>
      </c>
      <c r="H34" s="1" t="s">
        <v>77</v>
      </c>
      <c r="I34" s="1" t="s">
        <v>77</v>
      </c>
      <c r="J34" s="1" t="s">
        <v>77</v>
      </c>
      <c r="K34" s="1" t="s">
        <v>77</v>
      </c>
      <c r="L34" s="1" t="s">
        <v>77</v>
      </c>
      <c r="M34" s="1" t="s">
        <v>77</v>
      </c>
      <c r="N34" s="1" t="s">
        <v>77</v>
      </c>
      <c r="O34" s="1" t="s">
        <v>77</v>
      </c>
      <c r="P34" s="1" t="s">
        <v>77</v>
      </c>
      <c r="Q34" s="1" t="s">
        <v>77</v>
      </c>
      <c r="R34" s="1" t="s">
        <v>77</v>
      </c>
      <c r="S34" s="1" t="s">
        <v>77</v>
      </c>
      <c r="T34" s="1" t="s">
        <v>77</v>
      </c>
      <c r="U34" s="1" t="s">
        <v>77</v>
      </c>
      <c r="V34" s="1" t="s">
        <v>77</v>
      </c>
      <c r="W34" s="1" t="s">
        <v>77</v>
      </c>
      <c r="X34" s="1" t="s">
        <v>77</v>
      </c>
      <c r="Y34" s="1" t="s">
        <v>77</v>
      </c>
      <c r="Z34" s="1" t="s">
        <v>77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>
      <c r="A35" s="1" t="s">
        <v>115</v>
      </c>
      <c r="B35" s="4">
        <v>39.08611</v>
      </c>
      <c r="C35" s="4">
        <v>-96.5869</v>
      </c>
      <c r="D35" s="2" t="s">
        <v>76</v>
      </c>
      <c r="E35" s="5">
        <v>44357.0</v>
      </c>
      <c r="F35" s="6">
        <v>0.4125</v>
      </c>
      <c r="G35" s="4">
        <v>1081610.0</v>
      </c>
      <c r="H35" s="4">
        <v>1081815.0</v>
      </c>
      <c r="I35" s="4">
        <v>1081611.0</v>
      </c>
      <c r="J35" s="4">
        <v>1081613.0</v>
      </c>
      <c r="K35" s="1" t="s">
        <v>77</v>
      </c>
      <c r="L35" s="1" t="s">
        <v>77</v>
      </c>
      <c r="M35" s="1" t="s">
        <v>77</v>
      </c>
      <c r="N35" s="1" t="s">
        <v>77</v>
      </c>
      <c r="O35" s="4">
        <v>10.3</v>
      </c>
      <c r="P35" s="1" t="s">
        <v>77</v>
      </c>
      <c r="Q35" s="1" t="s">
        <v>77</v>
      </c>
      <c r="R35" s="4">
        <v>25.0</v>
      </c>
      <c r="S35" s="4">
        <v>523.0</v>
      </c>
      <c r="T35" s="4">
        <v>16.5</v>
      </c>
      <c r="U35" s="4">
        <v>522.0</v>
      </c>
      <c r="V35" s="4">
        <v>16.8</v>
      </c>
      <c r="W35" s="4">
        <v>0.88</v>
      </c>
      <c r="X35" s="1" t="s">
        <v>77</v>
      </c>
      <c r="Y35" s="4">
        <v>0.084</v>
      </c>
      <c r="Z35" s="4">
        <v>0.066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>
        <v>0.9</v>
      </c>
      <c r="AY35" s="4">
        <v>0.04</v>
      </c>
      <c r="AZ35" s="4">
        <v>0.1</v>
      </c>
      <c r="BA35" s="4">
        <v>0.11</v>
      </c>
      <c r="BB35" s="4">
        <v>0.11</v>
      </c>
      <c r="BC35" s="4">
        <v>0.09</v>
      </c>
      <c r="BD35" s="4">
        <v>0.06</v>
      </c>
      <c r="BE35" s="4">
        <v>0.06</v>
      </c>
      <c r="BF35" s="4">
        <v>0.05</v>
      </c>
      <c r="BG35" s="4">
        <v>0.02</v>
      </c>
      <c r="BH35" s="4">
        <v>0.02</v>
      </c>
      <c r="BI35" s="4"/>
      <c r="BJ35" s="4">
        <v>1.2</v>
      </c>
      <c r="BK35" s="4">
        <v>0.005</v>
      </c>
      <c r="BL35" s="4">
        <v>0.01</v>
      </c>
      <c r="BM35" s="4">
        <v>0.04</v>
      </c>
      <c r="BN35" s="4">
        <v>0.07</v>
      </c>
      <c r="BO35" s="4">
        <v>0.09</v>
      </c>
      <c r="BP35" s="4">
        <v>0.1</v>
      </c>
      <c r="BQ35" s="4">
        <v>0.12</v>
      </c>
      <c r="BR35" s="4">
        <v>0.12</v>
      </c>
      <c r="BS35" s="4">
        <v>0.16</v>
      </c>
      <c r="BT35" s="4">
        <v>0.12</v>
      </c>
      <c r="BU35" s="4"/>
      <c r="BV35" s="4"/>
      <c r="BW35" s="4"/>
    </row>
    <row r="36">
      <c r="A36" s="1" t="s">
        <v>116</v>
      </c>
      <c r="B36" s="4">
        <v>39.08386</v>
      </c>
      <c r="C36" s="4">
        <v>-96.588</v>
      </c>
      <c r="D36" s="2" t="s">
        <v>76</v>
      </c>
      <c r="E36" s="5">
        <v>44357.0</v>
      </c>
      <c r="F36" s="6">
        <v>0.44722222222222224</v>
      </c>
      <c r="G36" s="4">
        <v>1081610.0</v>
      </c>
      <c r="H36" s="4">
        <v>1081815.0</v>
      </c>
      <c r="I36" s="4">
        <v>1081611.0</v>
      </c>
      <c r="J36" s="4">
        <v>1081613.0</v>
      </c>
      <c r="K36" s="1" t="s">
        <v>77</v>
      </c>
      <c r="L36" s="1" t="s">
        <v>77</v>
      </c>
      <c r="M36" s="1" t="s">
        <v>77</v>
      </c>
      <c r="N36" s="1" t="s">
        <v>77</v>
      </c>
      <c r="O36" s="4">
        <v>10.0</v>
      </c>
      <c r="P36" s="1" t="s">
        <v>77</v>
      </c>
      <c r="Q36" s="1" t="s">
        <v>77</v>
      </c>
      <c r="R36" s="4">
        <v>25.0</v>
      </c>
      <c r="S36" s="4">
        <v>522.0</v>
      </c>
      <c r="T36" s="4">
        <v>19.5</v>
      </c>
      <c r="U36" s="4">
        <v>523.0</v>
      </c>
      <c r="V36" s="4">
        <v>19.5</v>
      </c>
      <c r="W36" s="4">
        <v>1.06</v>
      </c>
      <c r="X36" s="4">
        <v>0.038</v>
      </c>
      <c r="Y36" s="1" t="s">
        <v>77</v>
      </c>
      <c r="Z36" s="1" t="s">
        <v>77</v>
      </c>
      <c r="AA36" s="4">
        <v>2.3</v>
      </c>
      <c r="AB36" s="4"/>
      <c r="AC36" s="4">
        <v>0.04</v>
      </c>
      <c r="AD36" s="4"/>
      <c r="AE36" s="4">
        <v>0.03</v>
      </c>
      <c r="AF36" s="4"/>
      <c r="AG36" s="4">
        <v>0.03</v>
      </c>
      <c r="AH36" s="4"/>
      <c r="AI36" s="4">
        <v>0.04</v>
      </c>
      <c r="AJ36" s="4"/>
      <c r="AK36" s="4">
        <v>0.05</v>
      </c>
      <c r="AL36" s="4"/>
      <c r="AM36" s="4">
        <v>0.045</v>
      </c>
      <c r="AN36" s="4"/>
      <c r="AO36" s="4">
        <v>0.04</v>
      </c>
      <c r="AP36" s="4"/>
      <c r="AQ36" s="4">
        <v>0.06</v>
      </c>
      <c r="AR36" s="4"/>
      <c r="AS36" s="4">
        <v>0.02</v>
      </c>
      <c r="AT36" s="4"/>
      <c r="AU36" s="4">
        <v>0.02</v>
      </c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</row>
    <row r="37">
      <c r="A37" s="1" t="s">
        <v>117</v>
      </c>
      <c r="B37" s="4">
        <v>39.08228</v>
      </c>
      <c r="C37" s="4">
        <v>-96.5887</v>
      </c>
      <c r="D37" s="2" t="s">
        <v>76</v>
      </c>
      <c r="E37" s="5">
        <v>44357.0</v>
      </c>
      <c r="F37" s="6">
        <v>0.475</v>
      </c>
      <c r="G37" s="4">
        <v>1081610.0</v>
      </c>
      <c r="H37" s="4">
        <v>1081815.0</v>
      </c>
      <c r="I37" s="4">
        <v>1081611.0</v>
      </c>
      <c r="J37" s="4">
        <v>1081613.0</v>
      </c>
      <c r="K37" s="1" t="s">
        <v>77</v>
      </c>
      <c r="L37" s="1" t="s">
        <v>77</v>
      </c>
      <c r="M37" s="1" t="s">
        <v>77</v>
      </c>
      <c r="N37" s="1" t="s">
        <v>77</v>
      </c>
      <c r="O37" s="4">
        <v>7.9</v>
      </c>
      <c r="P37" s="1" t="s">
        <v>77</v>
      </c>
      <c r="Q37" s="1" t="s">
        <v>77</v>
      </c>
      <c r="R37" s="4">
        <v>25.0</v>
      </c>
      <c r="S37" s="4">
        <v>558.0</v>
      </c>
      <c r="T37" s="4">
        <v>17.0</v>
      </c>
      <c r="U37" s="4">
        <v>567.0</v>
      </c>
      <c r="V37" s="4">
        <v>24.2</v>
      </c>
      <c r="W37" s="4">
        <v>0.61</v>
      </c>
      <c r="X37" s="1" t="s">
        <v>77</v>
      </c>
      <c r="Y37" s="4">
        <v>0.094</v>
      </c>
      <c r="Z37" s="4">
        <v>0.0103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>
        <v>0.41</v>
      </c>
      <c r="AY37" s="4">
        <v>0.01</v>
      </c>
      <c r="AZ37" s="4">
        <v>0.015</v>
      </c>
      <c r="BA37" s="4">
        <v>0.015</v>
      </c>
      <c r="BB37" s="4">
        <v>0.01</v>
      </c>
      <c r="BC37" s="4">
        <v>0.025</v>
      </c>
      <c r="BD37" s="4">
        <v>0.01</v>
      </c>
      <c r="BE37" s="4">
        <v>0.005</v>
      </c>
      <c r="BF37" s="4">
        <v>0.005</v>
      </c>
      <c r="BG37" s="4">
        <v>0.005</v>
      </c>
      <c r="BH37" s="4">
        <v>0.003</v>
      </c>
      <c r="BI37" s="4"/>
      <c r="BJ37" s="4">
        <v>0.78</v>
      </c>
      <c r="BK37" s="4">
        <v>0.03</v>
      </c>
      <c r="BL37" s="4">
        <v>0.09</v>
      </c>
      <c r="BM37" s="4">
        <v>0.12</v>
      </c>
      <c r="BN37" s="4">
        <v>0.1</v>
      </c>
      <c r="BO37" s="4">
        <v>0.14</v>
      </c>
      <c r="BP37" s="4">
        <v>0.12</v>
      </c>
      <c r="BQ37" s="4">
        <v>0.115</v>
      </c>
      <c r="BR37" s="4">
        <v>0.1</v>
      </c>
      <c r="BS37" s="4">
        <v>0.09</v>
      </c>
      <c r="BT37" s="4">
        <v>0.03</v>
      </c>
      <c r="BU37" s="4"/>
      <c r="BV37" s="4"/>
      <c r="BW37" s="4"/>
    </row>
    <row r="38">
      <c r="A38" s="1" t="s">
        <v>118</v>
      </c>
      <c r="B38" s="4">
        <v>39.08838</v>
      </c>
      <c r="C38" s="4">
        <v>-96.5769</v>
      </c>
      <c r="D38" s="2" t="s">
        <v>119</v>
      </c>
      <c r="E38" s="1" t="s">
        <v>77</v>
      </c>
      <c r="F38" s="1" t="s">
        <v>77</v>
      </c>
      <c r="G38" s="1" t="s">
        <v>77</v>
      </c>
      <c r="H38" s="1" t="s">
        <v>77</v>
      </c>
      <c r="I38" s="1" t="s">
        <v>77</v>
      </c>
      <c r="J38" s="1" t="s">
        <v>77</v>
      </c>
      <c r="K38" s="1" t="s">
        <v>77</v>
      </c>
      <c r="L38" s="1" t="s">
        <v>77</v>
      </c>
      <c r="M38" s="1" t="s">
        <v>77</v>
      </c>
      <c r="N38" s="1" t="s">
        <v>77</v>
      </c>
      <c r="O38" s="1" t="s">
        <v>77</v>
      </c>
      <c r="P38" s="1" t="s">
        <v>77</v>
      </c>
      <c r="Q38" s="1" t="s">
        <v>77</v>
      </c>
      <c r="R38" s="1" t="s">
        <v>77</v>
      </c>
      <c r="S38" s="1" t="s">
        <v>77</v>
      </c>
      <c r="T38" s="1" t="s">
        <v>77</v>
      </c>
      <c r="U38" s="1" t="s">
        <v>77</v>
      </c>
      <c r="V38" s="1" t="s">
        <v>77</v>
      </c>
      <c r="W38" s="1" t="s">
        <v>77</v>
      </c>
      <c r="X38" s="1" t="s">
        <v>77</v>
      </c>
      <c r="Y38" s="1" t="s">
        <v>77</v>
      </c>
      <c r="Z38" s="1" t="s">
        <v>77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>
      <c r="A39" s="1" t="s">
        <v>120</v>
      </c>
      <c r="B39" s="4">
        <v>39.08921</v>
      </c>
      <c r="C39" s="4">
        <v>-96.5737</v>
      </c>
      <c r="D39" s="2" t="s">
        <v>119</v>
      </c>
      <c r="E39" s="1" t="s">
        <v>77</v>
      </c>
      <c r="F39" s="1" t="s">
        <v>77</v>
      </c>
      <c r="G39" s="1" t="s">
        <v>77</v>
      </c>
      <c r="H39" s="1" t="s">
        <v>77</v>
      </c>
      <c r="I39" s="1" t="s">
        <v>77</v>
      </c>
      <c r="J39" s="1" t="s">
        <v>77</v>
      </c>
      <c r="K39" s="1" t="s">
        <v>77</v>
      </c>
      <c r="L39" s="1" t="s">
        <v>77</v>
      </c>
      <c r="M39" s="1" t="s">
        <v>77</v>
      </c>
      <c r="N39" s="1" t="s">
        <v>77</v>
      </c>
      <c r="O39" s="1" t="s">
        <v>77</v>
      </c>
      <c r="P39" s="1" t="s">
        <v>77</v>
      </c>
      <c r="Q39" s="1" t="s">
        <v>77</v>
      </c>
      <c r="R39" s="1" t="s">
        <v>77</v>
      </c>
      <c r="S39" s="1" t="s">
        <v>77</v>
      </c>
      <c r="T39" s="1" t="s">
        <v>77</v>
      </c>
      <c r="U39" s="1" t="s">
        <v>77</v>
      </c>
      <c r="V39" s="1" t="s">
        <v>77</v>
      </c>
      <c r="W39" s="1" t="s">
        <v>77</v>
      </c>
      <c r="X39" s="1" t="s">
        <v>77</v>
      </c>
      <c r="Y39" s="1" t="s">
        <v>77</v>
      </c>
      <c r="Z39" s="1" t="s">
        <v>77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>
      <c r="A40" s="1" t="s">
        <v>121</v>
      </c>
      <c r="B40" s="4">
        <v>39.08822</v>
      </c>
      <c r="C40" s="4">
        <v>-96.5718</v>
      </c>
      <c r="D40" s="2" t="s">
        <v>119</v>
      </c>
      <c r="E40" s="1" t="s">
        <v>77</v>
      </c>
      <c r="F40" s="1" t="s">
        <v>77</v>
      </c>
      <c r="G40" s="1" t="s">
        <v>77</v>
      </c>
      <c r="H40" s="1" t="s">
        <v>77</v>
      </c>
      <c r="I40" s="1" t="s">
        <v>77</v>
      </c>
      <c r="J40" s="1" t="s">
        <v>77</v>
      </c>
      <c r="K40" s="1" t="s">
        <v>77</v>
      </c>
      <c r="L40" s="1" t="s">
        <v>77</v>
      </c>
      <c r="M40" s="1" t="s">
        <v>77</v>
      </c>
      <c r="N40" s="1" t="s">
        <v>77</v>
      </c>
      <c r="O40" s="1" t="s">
        <v>77</v>
      </c>
      <c r="P40" s="1" t="s">
        <v>77</v>
      </c>
      <c r="Q40" s="1" t="s">
        <v>77</v>
      </c>
      <c r="R40" s="1" t="s">
        <v>77</v>
      </c>
      <c r="S40" s="1" t="s">
        <v>77</v>
      </c>
      <c r="T40" s="1" t="s">
        <v>77</v>
      </c>
      <c r="U40" s="1" t="s">
        <v>77</v>
      </c>
      <c r="V40" s="1" t="s">
        <v>77</v>
      </c>
      <c r="W40" s="4">
        <v>0.0</v>
      </c>
      <c r="X40" s="4">
        <v>0.0</v>
      </c>
      <c r="Y40" s="1" t="s">
        <v>77</v>
      </c>
      <c r="Z40" s="1" t="s">
        <v>77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</row>
    <row r="41">
      <c r="A41" s="1" t="s">
        <v>122</v>
      </c>
      <c r="B41" s="4">
        <v>39.08709</v>
      </c>
      <c r="C41" s="4">
        <v>-96.5711</v>
      </c>
      <c r="D41" s="2" t="s">
        <v>123</v>
      </c>
      <c r="E41" s="1" t="s">
        <v>77</v>
      </c>
      <c r="F41" s="1" t="s">
        <v>77</v>
      </c>
      <c r="G41" s="1" t="s">
        <v>77</v>
      </c>
      <c r="H41" s="1" t="s">
        <v>77</v>
      </c>
      <c r="I41" s="1" t="s">
        <v>77</v>
      </c>
      <c r="J41" s="1" t="s">
        <v>77</v>
      </c>
      <c r="K41" s="1" t="s">
        <v>77</v>
      </c>
      <c r="L41" s="1" t="s">
        <v>77</v>
      </c>
      <c r="M41" s="1" t="s">
        <v>77</v>
      </c>
      <c r="N41" s="1" t="s">
        <v>77</v>
      </c>
      <c r="O41" s="1" t="s">
        <v>77</v>
      </c>
      <c r="P41" s="1" t="s">
        <v>77</v>
      </c>
      <c r="Q41" s="1" t="s">
        <v>77</v>
      </c>
      <c r="R41" s="1" t="s">
        <v>77</v>
      </c>
      <c r="S41" s="1" t="s">
        <v>77</v>
      </c>
      <c r="T41" s="1" t="s">
        <v>77</v>
      </c>
      <c r="U41" s="1" t="s">
        <v>77</v>
      </c>
      <c r="V41" s="1" t="s">
        <v>77</v>
      </c>
      <c r="W41" s="4">
        <v>0.0</v>
      </c>
      <c r="X41" s="4">
        <v>0.0</v>
      </c>
      <c r="Y41" s="1" t="s">
        <v>77</v>
      </c>
      <c r="Z41" s="1" t="s">
        <v>77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</row>
    <row r="42">
      <c r="A42" s="1" t="s">
        <v>124</v>
      </c>
      <c r="B42" s="4">
        <v>39.086</v>
      </c>
      <c r="C42" s="4">
        <v>-96.568</v>
      </c>
      <c r="D42" s="2" t="s">
        <v>76</v>
      </c>
      <c r="E42" s="5">
        <v>44358.0</v>
      </c>
      <c r="F42" s="6">
        <v>0.38472222222222224</v>
      </c>
      <c r="G42" s="4">
        <v>1081015.0</v>
      </c>
      <c r="H42" s="4">
        <v>1081633.0</v>
      </c>
      <c r="I42" s="4">
        <v>1081622.0</v>
      </c>
      <c r="J42" s="4">
        <v>1081016.0</v>
      </c>
      <c r="K42" s="1" t="s">
        <v>77</v>
      </c>
      <c r="L42" s="1" t="s">
        <v>77</v>
      </c>
      <c r="M42" s="1" t="s">
        <v>77</v>
      </c>
      <c r="N42" s="1" t="s">
        <v>77</v>
      </c>
      <c r="O42" s="4">
        <v>13.5</v>
      </c>
      <c r="P42" s="1" t="s">
        <v>77</v>
      </c>
      <c r="Q42" s="1" t="s">
        <v>77</v>
      </c>
      <c r="R42" s="4">
        <v>25.0</v>
      </c>
      <c r="S42" s="4">
        <v>532.0</v>
      </c>
      <c r="T42" s="4">
        <v>20.0</v>
      </c>
      <c r="U42" s="4">
        <v>529.0</v>
      </c>
      <c r="V42" s="4">
        <v>20.3</v>
      </c>
      <c r="W42" s="1" t="s">
        <v>77</v>
      </c>
      <c r="X42" s="4">
        <v>0.022</v>
      </c>
      <c r="Y42" s="1" t="s">
        <v>77</v>
      </c>
      <c r="Z42" s="1" t="s">
        <v>77</v>
      </c>
      <c r="AA42" s="4">
        <v>0.82</v>
      </c>
      <c r="AB42" s="4"/>
      <c r="AC42" s="4">
        <v>0.025</v>
      </c>
      <c r="AD42" s="4"/>
      <c r="AE42" s="4">
        <v>0.018</v>
      </c>
      <c r="AF42" s="4"/>
      <c r="AG42" s="4">
        <v>0.008</v>
      </c>
      <c r="AH42" s="4"/>
      <c r="AI42" s="4">
        <v>0.005</v>
      </c>
      <c r="AJ42" s="4"/>
      <c r="AK42" s="4">
        <v>0.19</v>
      </c>
      <c r="AL42" s="4"/>
      <c r="AM42" s="4">
        <v>0.033</v>
      </c>
      <c r="AN42" s="4"/>
      <c r="AO42" s="4">
        <v>0.025</v>
      </c>
      <c r="AP42" s="4"/>
      <c r="AQ42" s="4">
        <v>0.03</v>
      </c>
      <c r="AR42" s="4"/>
      <c r="AS42" s="4">
        <v>0.032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</row>
    <row r="43">
      <c r="A43" s="1" t="s">
        <v>125</v>
      </c>
      <c r="B43" s="4">
        <v>39.09228</v>
      </c>
      <c r="C43" s="4">
        <v>-96.5872</v>
      </c>
      <c r="D43" s="2" t="s">
        <v>126</v>
      </c>
      <c r="E43" s="8">
        <v>44354.0</v>
      </c>
      <c r="F43" s="11">
        <v>0.7458333333333333</v>
      </c>
      <c r="G43" s="1">
        <v>1081815.0</v>
      </c>
      <c r="H43" s="1" t="s">
        <v>77</v>
      </c>
      <c r="I43" s="1">
        <v>1081813.0</v>
      </c>
      <c r="J43" s="1" t="s">
        <v>77</v>
      </c>
      <c r="K43" s="1">
        <v>1081810.0</v>
      </c>
      <c r="L43" s="1" t="s">
        <v>77</v>
      </c>
      <c r="M43" s="1" t="s">
        <v>77</v>
      </c>
      <c r="N43" s="1" t="s">
        <v>77</v>
      </c>
      <c r="O43" s="1">
        <v>200.0</v>
      </c>
      <c r="P43" s="1">
        <v>100.0</v>
      </c>
      <c r="Q43" s="1" t="s">
        <v>77</v>
      </c>
      <c r="R43" s="1">
        <v>350.0</v>
      </c>
      <c r="S43" s="1" t="s">
        <v>77</v>
      </c>
      <c r="T43" s="1" t="s">
        <v>77</v>
      </c>
      <c r="U43" s="1" t="s">
        <v>77</v>
      </c>
      <c r="V43" s="1" t="s">
        <v>77</v>
      </c>
      <c r="W43" s="1">
        <v>5.7</v>
      </c>
      <c r="X43" s="1">
        <v>0.0979</v>
      </c>
      <c r="Y43" s="1" t="s">
        <v>77</v>
      </c>
      <c r="Z43" s="1" t="s">
        <v>77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>
      <c r="A44" s="1" t="s">
        <v>127</v>
      </c>
      <c r="B44" s="4">
        <v>39.09126</v>
      </c>
      <c r="C44" s="4">
        <v>-96.5863</v>
      </c>
      <c r="D44" s="2" t="s">
        <v>128</v>
      </c>
      <c r="E44" s="1" t="s">
        <v>77</v>
      </c>
      <c r="F44" s="1" t="s">
        <v>77</v>
      </c>
      <c r="G44" s="1" t="s">
        <v>77</v>
      </c>
      <c r="H44" s="1" t="s">
        <v>77</v>
      </c>
      <c r="I44" s="1" t="s">
        <v>77</v>
      </c>
      <c r="J44" s="1" t="s">
        <v>77</v>
      </c>
      <c r="K44" s="1" t="s">
        <v>77</v>
      </c>
      <c r="L44" s="1" t="s">
        <v>77</v>
      </c>
      <c r="M44" s="1" t="s">
        <v>77</v>
      </c>
      <c r="N44" s="1" t="s">
        <v>77</v>
      </c>
      <c r="O44" s="1" t="s">
        <v>77</v>
      </c>
      <c r="P44" s="1" t="s">
        <v>77</v>
      </c>
      <c r="Q44" s="1" t="s">
        <v>77</v>
      </c>
      <c r="R44" s="1" t="s">
        <v>77</v>
      </c>
      <c r="S44" s="1" t="s">
        <v>77</v>
      </c>
      <c r="T44" s="1" t="s">
        <v>77</v>
      </c>
      <c r="U44" s="1" t="s">
        <v>77</v>
      </c>
      <c r="V44" s="1" t="s">
        <v>77</v>
      </c>
      <c r="W44" s="1" t="s">
        <v>77</v>
      </c>
      <c r="X44" s="1" t="s">
        <v>77</v>
      </c>
      <c r="Y44" s="1" t="s">
        <v>77</v>
      </c>
      <c r="Z44" s="1" t="s">
        <v>77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>
      <c r="A45" s="1" t="s">
        <v>129</v>
      </c>
      <c r="B45" s="4">
        <v>39.09095</v>
      </c>
      <c r="C45" s="4">
        <v>-96.5861</v>
      </c>
      <c r="D45" s="2" t="s">
        <v>76</v>
      </c>
      <c r="E45" s="5">
        <v>44358.0</v>
      </c>
      <c r="F45" s="6">
        <v>0.35625</v>
      </c>
      <c r="G45" s="4">
        <v>1081611.0</v>
      </c>
      <c r="H45" s="4">
        <v>1081613.0</v>
      </c>
      <c r="I45" s="4">
        <v>1081815.0</v>
      </c>
      <c r="J45" s="4">
        <v>1081610.0</v>
      </c>
      <c r="K45" s="1" t="s">
        <v>77</v>
      </c>
      <c r="L45" s="1" t="s">
        <v>77</v>
      </c>
      <c r="M45" s="1" t="s">
        <v>77</v>
      </c>
      <c r="N45" s="1" t="s">
        <v>77</v>
      </c>
      <c r="O45" s="4">
        <v>15.0</v>
      </c>
      <c r="P45" s="1" t="s">
        <v>77</v>
      </c>
      <c r="Q45" s="1" t="s">
        <v>77</v>
      </c>
      <c r="R45" s="4">
        <v>140.22</v>
      </c>
      <c r="S45" s="4">
        <v>602.0</v>
      </c>
      <c r="T45" s="4">
        <v>18.0</v>
      </c>
      <c r="U45" s="4">
        <v>595.0</v>
      </c>
      <c r="V45" s="4">
        <v>18.1</v>
      </c>
      <c r="W45" s="4">
        <v>1.48</v>
      </c>
      <c r="X45" s="1" t="s">
        <v>77</v>
      </c>
      <c r="Y45" s="4">
        <v>0.298</v>
      </c>
      <c r="Z45" s="4">
        <v>0.159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>
        <v>2.7</v>
      </c>
      <c r="AY45" s="4">
        <v>0.15</v>
      </c>
      <c r="AZ45" s="4">
        <v>0.19</v>
      </c>
      <c r="BA45" s="4">
        <v>0.21</v>
      </c>
      <c r="BB45" s="4">
        <v>0.22</v>
      </c>
      <c r="BC45" s="4">
        <v>0.21</v>
      </c>
      <c r="BD45" s="4">
        <v>0.2</v>
      </c>
      <c r="BE45" s="4">
        <v>0.145</v>
      </c>
      <c r="BF45" s="4">
        <v>0.15</v>
      </c>
      <c r="BG45" s="4">
        <v>0.11</v>
      </c>
      <c r="BH45" s="4">
        <v>0.075</v>
      </c>
      <c r="BI45" s="4">
        <v>0.09</v>
      </c>
      <c r="BJ45" s="4">
        <v>3.1</v>
      </c>
      <c r="BK45" s="4">
        <v>0.1</v>
      </c>
      <c r="BL45" s="4">
        <v>0.25</v>
      </c>
      <c r="BM45" s="4">
        <v>0.38</v>
      </c>
      <c r="BN45" s="4">
        <v>0.41</v>
      </c>
      <c r="BO45" s="4">
        <v>0.395</v>
      </c>
      <c r="BP45" s="4">
        <v>0.39</v>
      </c>
      <c r="BQ45" s="4">
        <v>0.39</v>
      </c>
      <c r="BR45" s="4">
        <v>0.37</v>
      </c>
      <c r="BS45" s="4">
        <v>0.365</v>
      </c>
      <c r="BT45" s="4">
        <v>0.34</v>
      </c>
      <c r="BU45" s="4">
        <v>0.25</v>
      </c>
      <c r="BV45" s="4">
        <v>0.18</v>
      </c>
      <c r="BW45" s="4">
        <v>0.06</v>
      </c>
    </row>
    <row r="46">
      <c r="A46" s="1" t="s">
        <v>130</v>
      </c>
      <c r="B46" s="4">
        <v>39.09089</v>
      </c>
      <c r="C46" s="4">
        <v>-96.5844</v>
      </c>
      <c r="D46" s="2" t="s">
        <v>76</v>
      </c>
      <c r="E46" s="5">
        <v>44358.0</v>
      </c>
      <c r="F46" s="6">
        <v>0.4027777777777778</v>
      </c>
      <c r="G46" s="4">
        <v>1081611.0</v>
      </c>
      <c r="H46" s="4">
        <v>1081613.0</v>
      </c>
      <c r="I46" s="4">
        <v>1081815.0</v>
      </c>
      <c r="J46" s="4">
        <v>1081610.0</v>
      </c>
      <c r="K46" s="1" t="s">
        <v>77</v>
      </c>
      <c r="L46" s="1" t="s">
        <v>77</v>
      </c>
      <c r="M46" s="1" t="s">
        <v>77</v>
      </c>
      <c r="N46" s="1" t="s">
        <v>77</v>
      </c>
      <c r="O46" s="4">
        <v>46.0</v>
      </c>
      <c r="P46" s="1" t="s">
        <v>77</v>
      </c>
      <c r="Q46" s="1" t="s">
        <v>77</v>
      </c>
      <c r="R46" s="4">
        <v>420.39</v>
      </c>
      <c r="S46" s="4">
        <v>583.0</v>
      </c>
      <c r="T46" s="4">
        <v>18.4</v>
      </c>
      <c r="U46" s="4">
        <v>590.0</v>
      </c>
      <c r="V46" s="4">
        <v>17.6</v>
      </c>
      <c r="W46" s="4">
        <v>2.46</v>
      </c>
      <c r="X46" s="4">
        <v>0.0935</v>
      </c>
      <c r="Y46" s="1" t="s">
        <v>77</v>
      </c>
      <c r="Z46" s="1" t="s">
        <v>77</v>
      </c>
      <c r="AA46" s="4"/>
      <c r="AB46" s="4"/>
      <c r="AC46" s="4">
        <v>0.07</v>
      </c>
      <c r="AD46" s="4"/>
      <c r="AE46" s="4">
        <v>0.1</v>
      </c>
      <c r="AF46" s="4"/>
      <c r="AG46" s="4">
        <v>0.18</v>
      </c>
      <c r="AH46" s="4"/>
      <c r="AI46" s="4">
        <v>0.205</v>
      </c>
      <c r="AJ46" s="4"/>
      <c r="AK46" s="4">
        <v>0.1</v>
      </c>
      <c r="AL46" s="4"/>
      <c r="AM46" s="4">
        <v>0.07</v>
      </c>
      <c r="AN46" s="4"/>
      <c r="AO46" s="4">
        <v>0.055</v>
      </c>
      <c r="AP46" s="4"/>
      <c r="AQ46" s="4">
        <v>0.03</v>
      </c>
      <c r="AR46" s="4"/>
      <c r="AS46" s="4">
        <v>0.06</v>
      </c>
      <c r="AT46" s="4"/>
      <c r="AU46" s="4">
        <v>0.065</v>
      </c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</row>
    <row r="47">
      <c r="A47" s="1" t="s">
        <v>131</v>
      </c>
      <c r="B47" s="4">
        <v>39.09019</v>
      </c>
      <c r="C47" s="4">
        <v>-96.5819</v>
      </c>
      <c r="D47" s="2" t="s">
        <v>76</v>
      </c>
      <c r="E47" s="5">
        <v>44358.0</v>
      </c>
      <c r="F47" s="6">
        <v>0.5104166666666666</v>
      </c>
      <c r="G47" s="4">
        <v>1081611.0</v>
      </c>
      <c r="H47" s="4">
        <v>1081613.0</v>
      </c>
      <c r="I47" s="4">
        <v>1081815.0</v>
      </c>
      <c r="J47" s="4">
        <v>1081610.0</v>
      </c>
      <c r="K47" s="1" t="s">
        <v>77</v>
      </c>
      <c r="L47" s="1" t="s">
        <v>77</v>
      </c>
      <c r="M47" s="1" t="s">
        <v>77</v>
      </c>
      <c r="N47" s="1" t="s">
        <v>77</v>
      </c>
      <c r="O47" s="4">
        <v>30.0</v>
      </c>
      <c r="P47" s="1" t="s">
        <v>77</v>
      </c>
      <c r="Q47" s="1" t="s">
        <v>77</v>
      </c>
      <c r="R47" s="4">
        <v>100.0</v>
      </c>
      <c r="S47" s="4">
        <v>565.0</v>
      </c>
      <c r="T47" s="4">
        <v>20.4</v>
      </c>
      <c r="U47" s="4">
        <v>565.0</v>
      </c>
      <c r="V47" s="4">
        <v>20.7</v>
      </c>
      <c r="W47" s="4">
        <v>1.7</v>
      </c>
      <c r="X47" s="1" t="s">
        <v>77</v>
      </c>
      <c r="Y47" s="4">
        <v>0.195</v>
      </c>
      <c r="Z47" s="4">
        <v>0.0959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>
        <v>0.06</v>
      </c>
      <c r="AZ47" s="4">
        <v>0.1</v>
      </c>
      <c r="BA47" s="4">
        <v>0.13</v>
      </c>
      <c r="BB47" s="4">
        <v>0.14</v>
      </c>
      <c r="BC47" s="4">
        <v>0.12</v>
      </c>
      <c r="BD47" s="4">
        <v>0.09</v>
      </c>
      <c r="BE47" s="4">
        <v>0.1</v>
      </c>
      <c r="BF47" s="4">
        <v>0.09</v>
      </c>
      <c r="BG47" s="4">
        <v>0.1</v>
      </c>
      <c r="BH47" s="4">
        <v>0.075</v>
      </c>
      <c r="BI47" s="4">
        <v>0.05</v>
      </c>
      <c r="BJ47" s="4"/>
      <c r="BK47" s="4">
        <v>0.14</v>
      </c>
      <c r="BL47" s="4">
        <v>0.17</v>
      </c>
      <c r="BM47" s="4">
        <v>0.18</v>
      </c>
      <c r="BN47" s="4">
        <v>0.18</v>
      </c>
      <c r="BO47" s="4">
        <v>0.18</v>
      </c>
      <c r="BP47" s="4">
        <v>0.19</v>
      </c>
      <c r="BQ47" s="4">
        <v>0.2</v>
      </c>
      <c r="BR47" s="4">
        <v>0.29</v>
      </c>
      <c r="BS47" s="4">
        <v>0.27</v>
      </c>
      <c r="BT47" s="4">
        <v>0.15</v>
      </c>
      <c r="BU47" s="4"/>
      <c r="BV47" s="4"/>
      <c r="BW47" s="4"/>
    </row>
    <row r="48">
      <c r="A48" s="1" t="s">
        <v>132</v>
      </c>
      <c r="B48" s="4">
        <v>39.0895</v>
      </c>
      <c r="C48" s="4">
        <v>-96.5794</v>
      </c>
      <c r="D48" s="2" t="s">
        <v>76</v>
      </c>
      <c r="E48" s="5">
        <v>44358.0</v>
      </c>
      <c r="F48" s="6">
        <v>0.55625</v>
      </c>
      <c r="G48" s="4">
        <v>1081611.0</v>
      </c>
      <c r="H48" s="4">
        <v>1081613.0</v>
      </c>
      <c r="I48" s="4">
        <v>1081815.0</v>
      </c>
      <c r="J48" s="4">
        <v>1081610.0</v>
      </c>
      <c r="K48" s="1" t="s">
        <v>77</v>
      </c>
      <c r="L48" s="1" t="s">
        <v>77</v>
      </c>
      <c r="M48" s="1" t="s">
        <v>77</v>
      </c>
      <c r="N48" s="1" t="s">
        <v>77</v>
      </c>
      <c r="O48" s="4">
        <v>10.0</v>
      </c>
      <c r="P48" s="1" t="s">
        <v>77</v>
      </c>
      <c r="Q48" s="1" t="s">
        <v>77</v>
      </c>
      <c r="R48" s="4">
        <v>25.55</v>
      </c>
      <c r="S48" s="4">
        <v>570.0</v>
      </c>
      <c r="T48" s="4">
        <v>21.2</v>
      </c>
      <c r="U48" s="4">
        <v>538.0</v>
      </c>
      <c r="V48" s="4">
        <v>19.6</v>
      </c>
      <c r="W48" s="4">
        <v>0.56</v>
      </c>
      <c r="X48" s="1" t="s">
        <v>77</v>
      </c>
      <c r="Y48" s="1" t="s">
        <v>77</v>
      </c>
      <c r="Z48" s="4">
        <v>0.059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>
        <v>0.02</v>
      </c>
      <c r="AZ48" s="4">
        <v>0.06</v>
      </c>
      <c r="BA48" s="4">
        <v>0.09</v>
      </c>
      <c r="BB48" s="4">
        <v>0.1</v>
      </c>
      <c r="BC48" s="4">
        <v>0.05</v>
      </c>
      <c r="BD48" s="4">
        <v>0.015</v>
      </c>
      <c r="BE48" s="4">
        <v>0.08</v>
      </c>
      <c r="BF48" s="4">
        <v>0.07</v>
      </c>
      <c r="BG48" s="4">
        <v>0.065</v>
      </c>
      <c r="BH48" s="4">
        <v>0.04</v>
      </c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>
      <c r="A49" s="1" t="s">
        <v>133</v>
      </c>
      <c r="B49" s="4">
        <v>39.08868</v>
      </c>
      <c r="C49" s="4">
        <v>-96.5785</v>
      </c>
      <c r="D49" s="2" t="s">
        <v>134</v>
      </c>
      <c r="E49" s="1" t="s">
        <v>77</v>
      </c>
      <c r="F49" s="1" t="s">
        <v>77</v>
      </c>
      <c r="G49" s="1" t="s">
        <v>77</v>
      </c>
      <c r="H49" s="1" t="s">
        <v>77</v>
      </c>
      <c r="I49" s="1" t="s">
        <v>77</v>
      </c>
      <c r="J49" s="1" t="s">
        <v>77</v>
      </c>
      <c r="K49" s="1" t="s">
        <v>77</v>
      </c>
      <c r="L49" s="1" t="s">
        <v>77</v>
      </c>
      <c r="M49" s="1" t="s">
        <v>77</v>
      </c>
      <c r="N49" s="1" t="s">
        <v>77</v>
      </c>
      <c r="O49" s="1" t="s">
        <v>77</v>
      </c>
      <c r="P49" s="1" t="s">
        <v>77</v>
      </c>
      <c r="Q49" s="1" t="s">
        <v>77</v>
      </c>
      <c r="R49" s="1" t="s">
        <v>77</v>
      </c>
      <c r="S49" s="1" t="s">
        <v>77</v>
      </c>
      <c r="T49" s="1" t="s">
        <v>77</v>
      </c>
      <c r="U49" s="1" t="s">
        <v>77</v>
      </c>
      <c r="V49" s="1" t="s">
        <v>77</v>
      </c>
      <c r="W49" s="1" t="s">
        <v>77</v>
      </c>
      <c r="X49" s="1" t="s">
        <v>77</v>
      </c>
      <c r="Y49" s="1" t="s">
        <v>77</v>
      </c>
      <c r="Z49" s="1" t="s">
        <v>77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>
      <c r="A50" s="1" t="s">
        <v>135</v>
      </c>
      <c r="B50" s="4">
        <v>39.09185</v>
      </c>
      <c r="C50" s="4">
        <v>-96.5852</v>
      </c>
      <c r="D50" s="2" t="s">
        <v>76</v>
      </c>
      <c r="E50" s="5">
        <v>44358.0</v>
      </c>
      <c r="F50" s="6">
        <v>0.44027777777777777</v>
      </c>
      <c r="G50" s="4">
        <v>1081015.0</v>
      </c>
      <c r="H50" s="4">
        <v>1081633.0</v>
      </c>
      <c r="I50" s="4">
        <v>1081622.0</v>
      </c>
      <c r="J50" s="4">
        <v>1081016.0</v>
      </c>
      <c r="K50" s="1" t="s">
        <v>77</v>
      </c>
      <c r="L50" s="1" t="s">
        <v>77</v>
      </c>
      <c r="M50" s="1" t="s">
        <v>77</v>
      </c>
      <c r="N50" s="1" t="s">
        <v>77</v>
      </c>
      <c r="O50" s="4">
        <v>11.0</v>
      </c>
      <c r="P50" s="1" t="s">
        <v>77</v>
      </c>
      <c r="Q50" s="1" t="s">
        <v>77</v>
      </c>
      <c r="R50" s="4">
        <v>25.0</v>
      </c>
      <c r="S50" s="4">
        <v>577.0</v>
      </c>
      <c r="T50" s="4">
        <v>17.6</v>
      </c>
      <c r="U50" s="4">
        <v>567.0</v>
      </c>
      <c r="V50" s="4">
        <v>19.3</v>
      </c>
      <c r="W50" s="4">
        <v>1.06</v>
      </c>
      <c r="X50" s="4">
        <v>0.088</v>
      </c>
      <c r="Y50" s="1" t="s">
        <v>77</v>
      </c>
      <c r="Z50" s="1" t="s">
        <v>77</v>
      </c>
      <c r="AA50" s="4">
        <v>2.68</v>
      </c>
      <c r="AB50" s="4"/>
      <c r="AC50" s="4">
        <v>0.063</v>
      </c>
      <c r="AD50" s="4"/>
      <c r="AE50" s="4">
        <v>0.086</v>
      </c>
      <c r="AF50" s="4"/>
      <c r="AG50" s="4">
        <v>0.104</v>
      </c>
      <c r="AH50" s="4"/>
      <c r="AI50" s="4">
        <v>0.106</v>
      </c>
      <c r="AJ50" s="4"/>
      <c r="AK50" s="4">
        <v>0.098</v>
      </c>
      <c r="AL50" s="4"/>
      <c r="AM50" s="4">
        <v>0.088</v>
      </c>
      <c r="AN50" s="4"/>
      <c r="AO50" s="4">
        <v>0.108</v>
      </c>
      <c r="AP50" s="4"/>
      <c r="AQ50" s="4">
        <v>0.072</v>
      </c>
      <c r="AR50" s="4"/>
      <c r="AS50" s="4">
        <v>0.046</v>
      </c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>
      <c r="A51" s="1" t="s">
        <v>136</v>
      </c>
      <c r="B51" s="4">
        <v>39.09105</v>
      </c>
      <c r="C51" s="4">
        <v>-96.5785</v>
      </c>
      <c r="D51" s="2" t="s">
        <v>76</v>
      </c>
      <c r="E51" s="5">
        <v>44358.0</v>
      </c>
      <c r="F51" s="6">
        <v>0.5256944444444445</v>
      </c>
      <c r="G51" s="4">
        <v>1081015.0</v>
      </c>
      <c r="H51" s="4">
        <v>1081633.0</v>
      </c>
      <c r="I51" s="4">
        <v>1081622.0</v>
      </c>
      <c r="J51" s="4">
        <v>1081016.0</v>
      </c>
      <c r="K51" s="1" t="s">
        <v>77</v>
      </c>
      <c r="L51" s="1" t="s">
        <v>77</v>
      </c>
      <c r="M51" s="1" t="s">
        <v>77</v>
      </c>
      <c r="N51" s="1" t="s">
        <v>77</v>
      </c>
      <c r="O51" s="4">
        <v>9.3</v>
      </c>
      <c r="P51" s="1" t="s">
        <v>77</v>
      </c>
      <c r="Q51" s="1" t="s">
        <v>77</v>
      </c>
      <c r="R51" s="4">
        <v>10.61</v>
      </c>
      <c r="S51" s="4">
        <v>490.9</v>
      </c>
      <c r="T51" s="4">
        <v>19.3</v>
      </c>
      <c r="U51" s="4">
        <v>513.0</v>
      </c>
      <c r="V51" s="4">
        <v>20.0</v>
      </c>
      <c r="W51" s="4">
        <v>0.514</v>
      </c>
      <c r="X51" s="1" t="s">
        <v>77</v>
      </c>
      <c r="Y51" s="1" t="s">
        <v>77</v>
      </c>
      <c r="Z51" s="4">
        <v>0.021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>
        <v>0.52</v>
      </c>
      <c r="AY51" s="4">
        <v>0.02</v>
      </c>
      <c r="AZ51" s="4">
        <v>0.05</v>
      </c>
      <c r="BA51" s="4">
        <v>0.02</v>
      </c>
      <c r="BB51" s="4">
        <v>0.022</v>
      </c>
      <c r="BC51" s="4">
        <v>0.022</v>
      </c>
      <c r="BD51" s="4">
        <v>0.02</v>
      </c>
      <c r="BE51" s="4">
        <v>0.01</v>
      </c>
      <c r="BF51" s="4">
        <v>0.005</v>
      </c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>
      <c r="D52" s="12"/>
      <c r="E52" s="12"/>
    </row>
    <row r="53">
      <c r="D53" s="12"/>
      <c r="E53" s="12"/>
    </row>
    <row r="54">
      <c r="D54" s="12"/>
      <c r="E54" s="12"/>
    </row>
    <row r="55">
      <c r="D55" s="12"/>
      <c r="E55" s="12"/>
    </row>
    <row r="56">
      <c r="D56" s="12"/>
      <c r="E56" s="12"/>
    </row>
    <row r="57">
      <c r="D57" s="12"/>
      <c r="E57" s="12"/>
    </row>
    <row r="58">
      <c r="D58" s="12"/>
      <c r="E58" s="12"/>
    </row>
    <row r="59">
      <c r="D59" s="12"/>
      <c r="E59" s="12"/>
    </row>
    <row r="60">
      <c r="D60" s="12"/>
      <c r="E60" s="12"/>
    </row>
    <row r="61">
      <c r="D61" s="12"/>
      <c r="E61" s="12"/>
    </row>
    <row r="62">
      <c r="D62" s="12"/>
      <c r="E62" s="12"/>
    </row>
    <row r="63">
      <c r="D63" s="12"/>
      <c r="E63" s="12"/>
    </row>
    <row r="64">
      <c r="D64" s="12"/>
      <c r="E64" s="12"/>
    </row>
    <row r="65">
      <c r="D65" s="12"/>
      <c r="E65" s="12"/>
    </row>
    <row r="66">
      <c r="D66" s="12"/>
      <c r="E66" s="12"/>
    </row>
    <row r="67">
      <c r="D67" s="12"/>
      <c r="E67" s="12"/>
    </row>
    <row r="68">
      <c r="D68" s="12"/>
      <c r="E68" s="12"/>
    </row>
    <row r="69">
      <c r="D69" s="12"/>
      <c r="E69" s="12"/>
    </row>
    <row r="70">
      <c r="D70" s="12"/>
      <c r="E70" s="12"/>
    </row>
    <row r="71">
      <c r="D71" s="12"/>
      <c r="E71" s="12"/>
    </row>
    <row r="72">
      <c r="D72" s="12"/>
      <c r="E72" s="12"/>
    </row>
    <row r="73">
      <c r="D73" s="12"/>
      <c r="E73" s="12"/>
    </row>
    <row r="74">
      <c r="D74" s="12"/>
      <c r="E74" s="12"/>
    </row>
    <row r="75">
      <c r="D75" s="12"/>
      <c r="E75" s="12"/>
    </row>
    <row r="76">
      <c r="D76" s="12"/>
      <c r="E76" s="12"/>
    </row>
    <row r="77">
      <c r="D77" s="12"/>
      <c r="E77" s="12"/>
    </row>
    <row r="78">
      <c r="D78" s="12"/>
      <c r="E78" s="12"/>
    </row>
    <row r="79">
      <c r="D79" s="12"/>
      <c r="E79" s="12"/>
    </row>
    <row r="80">
      <c r="D80" s="12"/>
      <c r="E80" s="12"/>
    </row>
    <row r="81">
      <c r="D81" s="12"/>
      <c r="E81" s="12"/>
    </row>
    <row r="82">
      <c r="D82" s="12"/>
      <c r="E82" s="12"/>
    </row>
    <row r="83">
      <c r="D83" s="12"/>
      <c r="E83" s="12"/>
    </row>
    <row r="84">
      <c r="D84" s="12"/>
      <c r="E84" s="12"/>
    </row>
    <row r="85">
      <c r="D85" s="12"/>
      <c r="E85" s="12"/>
    </row>
    <row r="86">
      <c r="D86" s="12"/>
      <c r="E86" s="12"/>
    </row>
    <row r="87">
      <c r="D87" s="12"/>
      <c r="E87" s="12"/>
    </row>
    <row r="88">
      <c r="D88" s="12"/>
      <c r="E88" s="12"/>
    </row>
    <row r="89">
      <c r="D89" s="12"/>
      <c r="E89" s="12"/>
    </row>
    <row r="90">
      <c r="D90" s="12"/>
      <c r="E90" s="12"/>
    </row>
    <row r="91">
      <c r="D91" s="12"/>
      <c r="E91" s="12"/>
    </row>
    <row r="92">
      <c r="D92" s="12"/>
      <c r="E92" s="12"/>
    </row>
    <row r="93">
      <c r="D93" s="12"/>
      <c r="E93" s="12"/>
    </row>
    <row r="94">
      <c r="D94" s="12"/>
      <c r="E94" s="12"/>
    </row>
    <row r="95">
      <c r="D95" s="12"/>
      <c r="E95" s="12"/>
    </row>
    <row r="96">
      <c r="D96" s="12"/>
      <c r="E96" s="12"/>
    </row>
    <row r="97">
      <c r="D97" s="12"/>
      <c r="E97" s="12"/>
    </row>
    <row r="98">
      <c r="D98" s="12"/>
      <c r="E98" s="12"/>
    </row>
    <row r="99">
      <c r="D99" s="12"/>
      <c r="E99" s="12"/>
    </row>
    <row r="100">
      <c r="D100" s="12"/>
      <c r="E100" s="12"/>
    </row>
    <row r="101">
      <c r="D101" s="12"/>
      <c r="E101" s="12"/>
    </row>
    <row r="102">
      <c r="D102" s="12"/>
      <c r="E102" s="12"/>
    </row>
    <row r="103">
      <c r="D103" s="12"/>
      <c r="E103" s="12"/>
    </row>
    <row r="104">
      <c r="D104" s="12"/>
      <c r="E104" s="12"/>
    </row>
    <row r="105">
      <c r="D105" s="12"/>
      <c r="E105" s="12"/>
    </row>
    <row r="106">
      <c r="D106" s="12"/>
      <c r="E106" s="12"/>
    </row>
    <row r="107">
      <c r="D107" s="12"/>
      <c r="E107" s="12"/>
    </row>
    <row r="108">
      <c r="D108" s="12"/>
      <c r="E108" s="12"/>
    </row>
    <row r="109">
      <c r="D109" s="12"/>
      <c r="E109" s="12"/>
    </row>
    <row r="110">
      <c r="D110" s="12"/>
      <c r="E110" s="12"/>
    </row>
    <row r="111">
      <c r="D111" s="12"/>
      <c r="E111" s="12"/>
    </row>
    <row r="112">
      <c r="D112" s="12"/>
      <c r="E112" s="12"/>
    </row>
    <row r="113">
      <c r="D113" s="12"/>
      <c r="E113" s="12"/>
    </row>
    <row r="114">
      <c r="D114" s="12"/>
      <c r="E114" s="12"/>
    </row>
    <row r="115">
      <c r="D115" s="12"/>
      <c r="E115" s="12"/>
    </row>
    <row r="116">
      <c r="D116" s="12"/>
      <c r="E116" s="12"/>
    </row>
    <row r="117">
      <c r="D117" s="12"/>
      <c r="E117" s="12"/>
    </row>
    <row r="118">
      <c r="D118" s="12"/>
      <c r="E118" s="12"/>
    </row>
    <row r="119">
      <c r="D119" s="12"/>
      <c r="E119" s="12"/>
    </row>
    <row r="120">
      <c r="D120" s="12"/>
      <c r="E120" s="12"/>
    </row>
    <row r="121">
      <c r="D121" s="12"/>
      <c r="E121" s="12"/>
    </row>
    <row r="122">
      <c r="D122" s="12"/>
      <c r="E122" s="12"/>
    </row>
    <row r="123">
      <c r="D123" s="12"/>
      <c r="E123" s="12"/>
    </row>
    <row r="124">
      <c r="D124" s="12"/>
      <c r="E124" s="12"/>
    </row>
    <row r="125">
      <c r="D125" s="12"/>
      <c r="E125" s="12"/>
    </row>
    <row r="126">
      <c r="D126" s="12"/>
      <c r="E126" s="12"/>
    </row>
    <row r="127">
      <c r="D127" s="12"/>
      <c r="E127" s="12"/>
    </row>
    <row r="128">
      <c r="D128" s="12"/>
      <c r="E128" s="12"/>
    </row>
    <row r="129">
      <c r="D129" s="12"/>
      <c r="E129" s="12"/>
    </row>
    <row r="130">
      <c r="D130" s="12"/>
      <c r="E130" s="12"/>
    </row>
    <row r="131">
      <c r="D131" s="12"/>
      <c r="E131" s="12"/>
    </row>
    <row r="132">
      <c r="D132" s="12"/>
      <c r="E132" s="12"/>
    </row>
    <row r="133">
      <c r="D133" s="12"/>
      <c r="E133" s="12"/>
    </row>
    <row r="134">
      <c r="D134" s="12"/>
      <c r="E134" s="12"/>
    </row>
    <row r="135">
      <c r="D135" s="12"/>
      <c r="E135" s="12"/>
    </row>
    <row r="136">
      <c r="D136" s="12"/>
      <c r="E136" s="12"/>
    </row>
    <row r="137">
      <c r="D137" s="12"/>
      <c r="E137" s="12"/>
    </row>
    <row r="138">
      <c r="D138" s="12"/>
      <c r="E138" s="12"/>
    </row>
    <row r="139">
      <c r="D139" s="12"/>
      <c r="E139" s="12"/>
    </row>
    <row r="140">
      <c r="D140" s="12"/>
      <c r="E140" s="12"/>
    </row>
    <row r="141">
      <c r="D141" s="12"/>
      <c r="E141" s="12"/>
    </row>
    <row r="142">
      <c r="D142" s="12"/>
      <c r="E142" s="12"/>
    </row>
    <row r="143">
      <c r="D143" s="12"/>
      <c r="E143" s="12"/>
    </row>
    <row r="144">
      <c r="D144" s="12"/>
      <c r="E144" s="12"/>
    </row>
    <row r="145">
      <c r="D145" s="12"/>
      <c r="E145" s="12"/>
    </row>
    <row r="146">
      <c r="D146" s="12"/>
      <c r="E146" s="12"/>
    </row>
    <row r="147">
      <c r="D147" s="12"/>
      <c r="E147" s="12"/>
    </row>
    <row r="148">
      <c r="D148" s="12"/>
      <c r="E148" s="12"/>
    </row>
    <row r="149">
      <c r="D149" s="12"/>
      <c r="E149" s="12"/>
    </row>
    <row r="150">
      <c r="D150" s="12"/>
      <c r="E150" s="12"/>
    </row>
    <row r="151">
      <c r="D151" s="12"/>
      <c r="E151" s="12"/>
    </row>
    <row r="152">
      <c r="D152" s="12"/>
      <c r="E152" s="12"/>
    </row>
    <row r="153">
      <c r="D153" s="12"/>
      <c r="E153" s="12"/>
    </row>
    <row r="154">
      <c r="D154" s="12"/>
      <c r="E154" s="12"/>
    </row>
    <row r="155">
      <c r="D155" s="12"/>
      <c r="E155" s="12"/>
    </row>
    <row r="156">
      <c r="D156" s="12"/>
      <c r="E156" s="12"/>
    </row>
    <row r="157">
      <c r="D157" s="12"/>
      <c r="E157" s="12"/>
    </row>
    <row r="158">
      <c r="D158" s="12"/>
      <c r="E158" s="12"/>
    </row>
    <row r="159">
      <c r="D159" s="12"/>
      <c r="E159" s="12"/>
    </row>
    <row r="160">
      <c r="D160" s="12"/>
      <c r="E160" s="12"/>
    </row>
    <row r="161">
      <c r="D161" s="12"/>
      <c r="E161" s="12"/>
    </row>
    <row r="162">
      <c r="D162" s="12"/>
      <c r="E162" s="12"/>
    </row>
    <row r="163">
      <c r="D163" s="12"/>
      <c r="E163" s="12"/>
    </row>
    <row r="164">
      <c r="D164" s="12"/>
      <c r="E164" s="12"/>
    </row>
    <row r="165">
      <c r="D165" s="12"/>
      <c r="E165" s="12"/>
    </row>
    <row r="166">
      <c r="D166" s="12"/>
      <c r="E166" s="12"/>
    </row>
    <row r="167">
      <c r="D167" s="12"/>
      <c r="E167" s="12"/>
    </row>
    <row r="168">
      <c r="D168" s="12"/>
      <c r="E168" s="12"/>
    </row>
    <row r="169">
      <c r="D169" s="12"/>
      <c r="E169" s="12"/>
    </row>
    <row r="170">
      <c r="D170" s="12"/>
      <c r="E170" s="12"/>
    </row>
    <row r="171">
      <c r="D171" s="12"/>
      <c r="E171" s="12"/>
    </row>
    <row r="172">
      <c r="D172" s="12"/>
      <c r="E172" s="12"/>
    </row>
    <row r="173">
      <c r="D173" s="12"/>
      <c r="E173" s="12"/>
    </row>
    <row r="174">
      <c r="D174" s="12"/>
      <c r="E174" s="12"/>
    </row>
    <row r="175">
      <c r="D175" s="12"/>
      <c r="E175" s="12"/>
    </row>
    <row r="176">
      <c r="D176" s="12"/>
      <c r="E176" s="12"/>
    </row>
    <row r="177">
      <c r="D177" s="12"/>
      <c r="E177" s="12"/>
    </row>
    <row r="178">
      <c r="D178" s="12"/>
      <c r="E178" s="12"/>
    </row>
    <row r="179">
      <c r="D179" s="12"/>
      <c r="E179" s="12"/>
    </row>
    <row r="180">
      <c r="D180" s="12"/>
      <c r="E180" s="12"/>
    </row>
    <row r="181">
      <c r="D181" s="12"/>
      <c r="E181" s="12"/>
    </row>
    <row r="182">
      <c r="D182" s="12"/>
      <c r="E182" s="12"/>
    </row>
    <row r="183">
      <c r="D183" s="12"/>
      <c r="E183" s="12"/>
    </row>
    <row r="184">
      <c r="D184" s="12"/>
      <c r="E184" s="12"/>
    </row>
    <row r="185">
      <c r="D185" s="12"/>
      <c r="E185" s="12"/>
    </row>
    <row r="186">
      <c r="D186" s="12"/>
      <c r="E186" s="12"/>
    </row>
    <row r="187">
      <c r="D187" s="12"/>
      <c r="E187" s="12"/>
    </row>
    <row r="188">
      <c r="D188" s="12"/>
      <c r="E188" s="12"/>
    </row>
    <row r="189">
      <c r="D189" s="12"/>
      <c r="E189" s="12"/>
    </row>
    <row r="190">
      <c r="D190" s="12"/>
      <c r="E190" s="12"/>
    </row>
    <row r="191">
      <c r="D191" s="12"/>
      <c r="E191" s="12"/>
    </row>
    <row r="192">
      <c r="D192" s="12"/>
      <c r="E192" s="12"/>
    </row>
    <row r="193">
      <c r="D193" s="12"/>
      <c r="E193" s="12"/>
    </row>
    <row r="194">
      <c r="D194" s="12"/>
      <c r="E194" s="12"/>
    </row>
    <row r="195">
      <c r="D195" s="12"/>
      <c r="E195" s="12"/>
    </row>
    <row r="196">
      <c r="D196" s="12"/>
      <c r="E196" s="12"/>
    </row>
    <row r="197">
      <c r="D197" s="12"/>
      <c r="E197" s="12"/>
    </row>
    <row r="198">
      <c r="D198" s="12"/>
      <c r="E198" s="12"/>
    </row>
    <row r="199">
      <c r="D199" s="12"/>
      <c r="E199" s="12"/>
    </row>
    <row r="200">
      <c r="D200" s="12"/>
      <c r="E200" s="12"/>
    </row>
    <row r="201">
      <c r="D201" s="12"/>
      <c r="E201" s="12"/>
    </row>
    <row r="202">
      <c r="D202" s="12"/>
      <c r="E202" s="12"/>
    </row>
    <row r="203">
      <c r="D203" s="12"/>
      <c r="E203" s="12"/>
    </row>
    <row r="204">
      <c r="D204" s="12"/>
      <c r="E204" s="12"/>
    </row>
    <row r="205">
      <c r="D205" s="12"/>
      <c r="E205" s="12"/>
    </row>
    <row r="206">
      <c r="D206" s="12"/>
      <c r="E206" s="12"/>
    </row>
    <row r="207">
      <c r="D207" s="12"/>
      <c r="E207" s="12"/>
    </row>
    <row r="208">
      <c r="D208" s="12"/>
      <c r="E208" s="12"/>
    </row>
    <row r="209">
      <c r="D209" s="12"/>
      <c r="E209" s="12"/>
    </row>
    <row r="210">
      <c r="D210" s="12"/>
      <c r="E210" s="12"/>
    </row>
    <row r="211">
      <c r="D211" s="12"/>
      <c r="E211" s="12"/>
    </row>
    <row r="212">
      <c r="D212" s="12"/>
      <c r="E212" s="12"/>
    </row>
    <row r="213">
      <c r="D213" s="12"/>
      <c r="E213" s="12"/>
    </row>
    <row r="214">
      <c r="D214" s="12"/>
      <c r="E214" s="12"/>
    </row>
    <row r="215">
      <c r="D215" s="12"/>
      <c r="E215" s="12"/>
    </row>
    <row r="216">
      <c r="D216" s="12"/>
      <c r="E216" s="12"/>
    </row>
    <row r="217">
      <c r="D217" s="12"/>
      <c r="E217" s="12"/>
    </row>
    <row r="218">
      <c r="D218" s="12"/>
      <c r="E218" s="12"/>
    </row>
    <row r="219">
      <c r="D219" s="12"/>
      <c r="E219" s="12"/>
    </row>
    <row r="220">
      <c r="D220" s="12"/>
      <c r="E220" s="12"/>
    </row>
    <row r="221">
      <c r="D221" s="12"/>
      <c r="E221" s="12"/>
    </row>
    <row r="222">
      <c r="D222" s="12"/>
      <c r="E222" s="12"/>
    </row>
    <row r="223">
      <c r="D223" s="12"/>
      <c r="E223" s="12"/>
    </row>
    <row r="224">
      <c r="D224" s="12"/>
      <c r="E224" s="12"/>
    </row>
    <row r="225">
      <c r="D225" s="12"/>
      <c r="E225" s="12"/>
    </row>
    <row r="226">
      <c r="D226" s="12"/>
      <c r="E226" s="12"/>
    </row>
    <row r="227">
      <c r="D227" s="12"/>
      <c r="E227" s="12"/>
    </row>
    <row r="228">
      <c r="D228" s="12"/>
      <c r="E228" s="12"/>
    </row>
    <row r="229">
      <c r="D229" s="12"/>
      <c r="E229" s="12"/>
    </row>
    <row r="230">
      <c r="D230" s="12"/>
      <c r="E230" s="12"/>
    </row>
    <row r="231">
      <c r="D231" s="12"/>
      <c r="E231" s="12"/>
    </row>
    <row r="232">
      <c r="D232" s="12"/>
      <c r="E232" s="12"/>
    </row>
    <row r="233">
      <c r="D233" s="12"/>
      <c r="E233" s="12"/>
    </row>
    <row r="234">
      <c r="D234" s="12"/>
      <c r="E234" s="12"/>
    </row>
    <row r="235">
      <c r="D235" s="12"/>
      <c r="E235" s="12"/>
    </row>
    <row r="236">
      <c r="D236" s="12"/>
      <c r="E236" s="12"/>
    </row>
    <row r="237">
      <c r="D237" s="12"/>
      <c r="E237" s="12"/>
    </row>
    <row r="238">
      <c r="D238" s="12"/>
      <c r="E238" s="12"/>
    </row>
    <row r="239">
      <c r="D239" s="12"/>
      <c r="E239" s="12"/>
    </row>
    <row r="240">
      <c r="D240" s="12"/>
      <c r="E240" s="12"/>
    </row>
    <row r="241">
      <c r="D241" s="12"/>
      <c r="E241" s="12"/>
    </row>
    <row r="242">
      <c r="D242" s="12"/>
      <c r="E242" s="12"/>
    </row>
    <row r="243">
      <c r="D243" s="12"/>
      <c r="E243" s="12"/>
    </row>
    <row r="244">
      <c r="D244" s="12"/>
      <c r="E244" s="12"/>
    </row>
    <row r="245">
      <c r="D245" s="12"/>
      <c r="E245" s="12"/>
    </row>
    <row r="246">
      <c r="D246" s="12"/>
      <c r="E246" s="12"/>
    </row>
    <row r="247">
      <c r="D247" s="12"/>
      <c r="E247" s="12"/>
    </row>
    <row r="248">
      <c r="D248" s="12"/>
      <c r="E248" s="12"/>
    </row>
    <row r="249">
      <c r="D249" s="12"/>
      <c r="E249" s="12"/>
    </row>
    <row r="250">
      <c r="D250" s="12"/>
      <c r="E250" s="12"/>
    </row>
    <row r="251">
      <c r="D251" s="12"/>
      <c r="E251" s="12"/>
    </row>
    <row r="252">
      <c r="D252" s="12"/>
      <c r="E252" s="12"/>
    </row>
    <row r="253">
      <c r="D253" s="12"/>
      <c r="E253" s="12"/>
    </row>
    <row r="254">
      <c r="D254" s="12"/>
      <c r="E254" s="12"/>
    </row>
    <row r="255">
      <c r="D255" s="12"/>
      <c r="E255" s="12"/>
    </row>
    <row r="256">
      <c r="D256" s="12"/>
      <c r="E256" s="12"/>
    </row>
    <row r="257">
      <c r="D257" s="12"/>
      <c r="E257" s="12"/>
    </row>
    <row r="258">
      <c r="D258" s="12"/>
      <c r="E258" s="12"/>
    </row>
    <row r="259">
      <c r="D259" s="12"/>
      <c r="E259" s="12"/>
    </row>
    <row r="260">
      <c r="D260" s="12"/>
      <c r="E260" s="12"/>
    </row>
    <row r="261">
      <c r="D261" s="12"/>
      <c r="E261" s="12"/>
    </row>
    <row r="262">
      <c r="D262" s="12"/>
      <c r="E262" s="12"/>
    </row>
    <row r="263">
      <c r="D263" s="12"/>
      <c r="E263" s="12"/>
    </row>
    <row r="264">
      <c r="D264" s="12"/>
      <c r="E264" s="12"/>
    </row>
    <row r="265">
      <c r="D265" s="12"/>
      <c r="E265" s="12"/>
    </row>
    <row r="266">
      <c r="D266" s="12"/>
      <c r="E266" s="12"/>
    </row>
    <row r="267">
      <c r="D267" s="12"/>
      <c r="E267" s="12"/>
    </row>
    <row r="268">
      <c r="D268" s="12"/>
      <c r="E268" s="12"/>
    </row>
    <row r="269">
      <c r="D269" s="12"/>
      <c r="E269" s="12"/>
    </row>
    <row r="270">
      <c r="D270" s="12"/>
      <c r="E270" s="12"/>
    </row>
    <row r="271">
      <c r="D271" s="12"/>
      <c r="E271" s="12"/>
    </row>
    <row r="272">
      <c r="D272" s="12"/>
      <c r="E272" s="12"/>
    </row>
    <row r="273">
      <c r="D273" s="12"/>
      <c r="E273" s="12"/>
    </row>
    <row r="274">
      <c r="D274" s="12"/>
      <c r="E274" s="12"/>
    </row>
    <row r="275">
      <c r="D275" s="12"/>
      <c r="E275" s="12"/>
    </row>
    <row r="276">
      <c r="D276" s="12"/>
      <c r="E276" s="12"/>
    </row>
    <row r="277">
      <c r="D277" s="12"/>
      <c r="E277" s="12"/>
    </row>
    <row r="278">
      <c r="D278" s="12"/>
      <c r="E278" s="12"/>
    </row>
    <row r="279">
      <c r="D279" s="12"/>
      <c r="E279" s="12"/>
    </row>
    <row r="280">
      <c r="D280" s="12"/>
      <c r="E280" s="12"/>
    </row>
    <row r="281">
      <c r="D281" s="12"/>
      <c r="E281" s="12"/>
    </row>
    <row r="282">
      <c r="D282" s="12"/>
      <c r="E282" s="12"/>
    </row>
    <row r="283">
      <c r="D283" s="12"/>
      <c r="E283" s="12"/>
    </row>
    <row r="284">
      <c r="D284" s="12"/>
      <c r="E284" s="12"/>
    </row>
    <row r="285">
      <c r="D285" s="12"/>
      <c r="E285" s="12"/>
    </row>
    <row r="286">
      <c r="D286" s="12"/>
      <c r="E286" s="12"/>
    </row>
    <row r="287">
      <c r="D287" s="12"/>
      <c r="E287" s="12"/>
    </row>
    <row r="288">
      <c r="D288" s="12"/>
      <c r="E288" s="12"/>
    </row>
    <row r="289">
      <c r="D289" s="12"/>
      <c r="E289" s="12"/>
    </row>
    <row r="290">
      <c r="D290" s="12"/>
      <c r="E290" s="12"/>
    </row>
    <row r="291">
      <c r="D291" s="12"/>
      <c r="E291" s="12"/>
    </row>
    <row r="292">
      <c r="D292" s="12"/>
      <c r="E292" s="12"/>
    </row>
    <row r="293">
      <c r="D293" s="12"/>
      <c r="E293" s="12"/>
    </row>
    <row r="294">
      <c r="D294" s="12"/>
      <c r="E294" s="12"/>
    </row>
    <row r="295">
      <c r="D295" s="12"/>
      <c r="E295" s="12"/>
    </row>
    <row r="296">
      <c r="D296" s="12"/>
      <c r="E296" s="12"/>
    </row>
    <row r="297">
      <c r="D297" s="12"/>
      <c r="E297" s="12"/>
    </row>
    <row r="298">
      <c r="D298" s="12"/>
      <c r="E298" s="12"/>
    </row>
    <row r="299">
      <c r="D299" s="12"/>
      <c r="E299" s="12"/>
    </row>
    <row r="300">
      <c r="D300" s="12"/>
      <c r="E300" s="12"/>
    </row>
    <row r="301">
      <c r="D301" s="12"/>
      <c r="E301" s="12"/>
    </row>
    <row r="302">
      <c r="D302" s="12"/>
      <c r="E302" s="12"/>
    </row>
    <row r="303">
      <c r="D303" s="12"/>
      <c r="E303" s="12"/>
    </row>
    <row r="304">
      <c r="D304" s="12"/>
      <c r="E304" s="12"/>
    </row>
    <row r="305">
      <c r="D305" s="12"/>
      <c r="E305" s="12"/>
    </row>
    <row r="306">
      <c r="D306" s="12"/>
      <c r="E306" s="12"/>
    </row>
    <row r="307">
      <c r="D307" s="12"/>
      <c r="E307" s="12"/>
    </row>
    <row r="308">
      <c r="D308" s="12"/>
      <c r="E308" s="12"/>
    </row>
    <row r="309">
      <c r="D309" s="12"/>
      <c r="E309" s="12"/>
    </row>
    <row r="310">
      <c r="D310" s="12"/>
      <c r="E310" s="12"/>
    </row>
    <row r="311">
      <c r="D311" s="12"/>
      <c r="E311" s="12"/>
    </row>
    <row r="312">
      <c r="D312" s="12"/>
      <c r="E312" s="12"/>
    </row>
    <row r="313">
      <c r="D313" s="12"/>
      <c r="E313" s="12"/>
    </row>
    <row r="314">
      <c r="D314" s="12"/>
      <c r="E314" s="12"/>
    </row>
    <row r="315">
      <c r="D315" s="12"/>
      <c r="E315" s="12"/>
    </row>
    <row r="316">
      <c r="D316" s="12"/>
      <c r="E316" s="12"/>
    </row>
    <row r="317">
      <c r="D317" s="12"/>
      <c r="E317" s="12"/>
    </row>
    <row r="318">
      <c r="D318" s="12"/>
      <c r="E318" s="12"/>
    </row>
    <row r="319">
      <c r="D319" s="12"/>
      <c r="E319" s="12"/>
    </row>
    <row r="320">
      <c r="D320" s="12"/>
      <c r="E320" s="12"/>
    </row>
    <row r="321">
      <c r="D321" s="12"/>
      <c r="E321" s="12"/>
    </row>
    <row r="322">
      <c r="D322" s="12"/>
      <c r="E322" s="12"/>
    </row>
    <row r="323">
      <c r="D323" s="12"/>
      <c r="E323" s="12"/>
    </row>
    <row r="324">
      <c r="D324" s="12"/>
      <c r="E324" s="12"/>
    </row>
    <row r="325">
      <c r="D325" s="12"/>
      <c r="E325" s="12"/>
    </row>
    <row r="326">
      <c r="D326" s="12"/>
      <c r="E326" s="12"/>
    </row>
    <row r="327">
      <c r="D327" s="12"/>
      <c r="E327" s="12"/>
    </row>
    <row r="328">
      <c r="D328" s="12"/>
      <c r="E328" s="12"/>
    </row>
    <row r="329">
      <c r="D329" s="12"/>
      <c r="E329" s="12"/>
    </row>
    <row r="330">
      <c r="D330" s="12"/>
      <c r="E330" s="12"/>
    </row>
    <row r="331">
      <c r="D331" s="12"/>
      <c r="E331" s="12"/>
    </row>
    <row r="332">
      <c r="D332" s="12"/>
      <c r="E332" s="12"/>
    </row>
    <row r="333">
      <c r="D333" s="12"/>
      <c r="E333" s="12"/>
    </row>
    <row r="334">
      <c r="D334" s="12"/>
      <c r="E334" s="12"/>
    </row>
    <row r="335">
      <c r="D335" s="12"/>
      <c r="E335" s="12"/>
    </row>
    <row r="336">
      <c r="D336" s="12"/>
      <c r="E336" s="12"/>
    </row>
    <row r="337">
      <c r="D337" s="12"/>
      <c r="E337" s="12"/>
    </row>
    <row r="338">
      <c r="D338" s="12"/>
      <c r="E338" s="12"/>
    </row>
    <row r="339">
      <c r="D339" s="12"/>
      <c r="E339" s="12"/>
    </row>
    <row r="340">
      <c r="D340" s="12"/>
      <c r="E340" s="12"/>
    </row>
    <row r="341">
      <c r="D341" s="12"/>
      <c r="E341" s="12"/>
    </row>
    <row r="342">
      <c r="D342" s="12"/>
      <c r="E342" s="12"/>
    </row>
    <row r="343">
      <c r="D343" s="12"/>
      <c r="E343" s="12"/>
    </row>
    <row r="344">
      <c r="D344" s="12"/>
      <c r="E344" s="12"/>
    </row>
    <row r="345">
      <c r="D345" s="12"/>
      <c r="E345" s="12"/>
    </row>
    <row r="346">
      <c r="D346" s="12"/>
      <c r="E346" s="12"/>
    </row>
    <row r="347">
      <c r="D347" s="12"/>
      <c r="E347" s="12"/>
    </row>
    <row r="348">
      <c r="D348" s="12"/>
      <c r="E348" s="12"/>
    </row>
    <row r="349">
      <c r="D349" s="12"/>
      <c r="E349" s="12"/>
    </row>
    <row r="350">
      <c r="D350" s="12"/>
      <c r="E350" s="12"/>
    </row>
    <row r="351">
      <c r="D351" s="12"/>
      <c r="E351" s="12"/>
    </row>
    <row r="352">
      <c r="D352" s="12"/>
      <c r="E352" s="12"/>
    </row>
    <row r="353">
      <c r="D353" s="12"/>
      <c r="E353" s="12"/>
    </row>
    <row r="354">
      <c r="D354" s="12"/>
      <c r="E354" s="12"/>
    </row>
    <row r="355">
      <c r="D355" s="12"/>
      <c r="E355" s="12"/>
    </row>
    <row r="356">
      <c r="D356" s="12"/>
      <c r="E356" s="12"/>
    </row>
    <row r="357">
      <c r="D357" s="12"/>
      <c r="E357" s="12"/>
    </row>
    <row r="358">
      <c r="D358" s="12"/>
      <c r="E358" s="12"/>
    </row>
    <row r="359">
      <c r="D359" s="12"/>
      <c r="E359" s="12"/>
    </row>
    <row r="360">
      <c r="D360" s="12"/>
      <c r="E360" s="12"/>
    </row>
    <row r="361">
      <c r="D361" s="12"/>
      <c r="E361" s="12"/>
    </row>
    <row r="362">
      <c r="D362" s="12"/>
      <c r="E362" s="12"/>
    </row>
    <row r="363">
      <c r="D363" s="12"/>
      <c r="E363" s="12"/>
    </row>
    <row r="364">
      <c r="D364" s="12"/>
      <c r="E364" s="12"/>
    </row>
    <row r="365">
      <c r="D365" s="12"/>
      <c r="E365" s="12"/>
    </row>
    <row r="366">
      <c r="D366" s="12"/>
      <c r="E366" s="12"/>
    </row>
    <row r="367">
      <c r="D367" s="12"/>
      <c r="E367" s="12"/>
    </row>
    <row r="368">
      <c r="D368" s="12"/>
      <c r="E368" s="12"/>
    </row>
    <row r="369">
      <c r="D369" s="12"/>
      <c r="E369" s="12"/>
    </row>
    <row r="370">
      <c r="D370" s="12"/>
      <c r="E370" s="12"/>
    </row>
    <row r="371">
      <c r="D371" s="12"/>
      <c r="E371" s="12"/>
    </row>
    <row r="372">
      <c r="D372" s="12"/>
      <c r="E372" s="12"/>
    </row>
    <row r="373">
      <c r="D373" s="12"/>
      <c r="E373" s="12"/>
    </row>
    <row r="374">
      <c r="D374" s="12"/>
      <c r="E374" s="12"/>
    </row>
    <row r="375">
      <c r="D375" s="12"/>
      <c r="E375" s="12"/>
    </row>
    <row r="376">
      <c r="D376" s="12"/>
      <c r="E376" s="12"/>
    </row>
    <row r="377">
      <c r="D377" s="12"/>
      <c r="E377" s="12"/>
    </row>
    <row r="378">
      <c r="D378" s="12"/>
      <c r="E378" s="12"/>
    </row>
    <row r="379">
      <c r="D379" s="12"/>
      <c r="E379" s="12"/>
    </row>
    <row r="380">
      <c r="D380" s="12"/>
      <c r="E380" s="12"/>
    </row>
    <row r="381">
      <c r="D381" s="12"/>
      <c r="E381" s="12"/>
    </row>
    <row r="382">
      <c r="D382" s="12"/>
      <c r="E382" s="12"/>
    </row>
    <row r="383">
      <c r="D383" s="12"/>
      <c r="E383" s="12"/>
    </row>
    <row r="384">
      <c r="D384" s="12"/>
      <c r="E384" s="12"/>
    </row>
    <row r="385">
      <c r="D385" s="12"/>
      <c r="E385" s="12"/>
    </row>
    <row r="386">
      <c r="D386" s="12"/>
      <c r="E386" s="12"/>
    </row>
    <row r="387">
      <c r="D387" s="12"/>
      <c r="E387" s="12"/>
    </row>
    <row r="388">
      <c r="D388" s="12"/>
      <c r="E388" s="12"/>
    </row>
    <row r="389">
      <c r="D389" s="12"/>
      <c r="E389" s="12"/>
    </row>
    <row r="390">
      <c r="D390" s="12"/>
      <c r="E390" s="12"/>
    </row>
    <row r="391">
      <c r="D391" s="12"/>
      <c r="E391" s="12"/>
    </row>
    <row r="392">
      <c r="D392" s="12"/>
      <c r="E392" s="12"/>
    </row>
    <row r="393">
      <c r="D393" s="12"/>
      <c r="E393" s="12"/>
    </row>
    <row r="394">
      <c r="D394" s="12"/>
      <c r="E394" s="12"/>
    </row>
    <row r="395">
      <c r="D395" s="12"/>
      <c r="E395" s="12"/>
    </row>
    <row r="396">
      <c r="D396" s="12"/>
      <c r="E396" s="12"/>
    </row>
    <row r="397">
      <c r="D397" s="12"/>
      <c r="E397" s="12"/>
    </row>
    <row r="398">
      <c r="D398" s="12"/>
      <c r="E398" s="12"/>
    </row>
    <row r="399">
      <c r="D399" s="12"/>
      <c r="E399" s="12"/>
    </row>
    <row r="400">
      <c r="D400" s="12"/>
      <c r="E400" s="12"/>
    </row>
    <row r="401">
      <c r="D401" s="12"/>
      <c r="E401" s="12"/>
    </row>
    <row r="402">
      <c r="D402" s="12"/>
      <c r="E402" s="12"/>
    </row>
    <row r="403">
      <c r="D403" s="12"/>
      <c r="E403" s="12"/>
    </row>
    <row r="404">
      <c r="D404" s="12"/>
      <c r="E404" s="12"/>
    </row>
    <row r="405">
      <c r="D405" s="12"/>
      <c r="E405" s="12"/>
    </row>
    <row r="406">
      <c r="D406" s="12"/>
      <c r="E406" s="12"/>
    </row>
    <row r="407">
      <c r="D407" s="12"/>
      <c r="E407" s="12"/>
    </row>
    <row r="408">
      <c r="D408" s="12"/>
      <c r="E408" s="12"/>
    </row>
    <row r="409">
      <c r="D409" s="12"/>
      <c r="E409" s="12"/>
    </row>
    <row r="410">
      <c r="D410" s="12"/>
      <c r="E410" s="12"/>
    </row>
    <row r="411">
      <c r="D411" s="12"/>
      <c r="E411" s="12"/>
    </row>
    <row r="412">
      <c r="D412" s="12"/>
      <c r="E412" s="12"/>
    </row>
    <row r="413">
      <c r="D413" s="12"/>
      <c r="E413" s="12"/>
    </row>
    <row r="414">
      <c r="D414" s="12"/>
      <c r="E414" s="12"/>
    </row>
    <row r="415">
      <c r="D415" s="12"/>
      <c r="E415" s="12"/>
    </row>
    <row r="416">
      <c r="D416" s="12"/>
      <c r="E416" s="12"/>
    </row>
    <row r="417">
      <c r="D417" s="12"/>
      <c r="E417" s="12"/>
    </row>
    <row r="418">
      <c r="D418" s="12"/>
      <c r="E418" s="12"/>
    </row>
    <row r="419">
      <c r="D419" s="12"/>
      <c r="E419" s="12"/>
    </row>
    <row r="420">
      <c r="D420" s="12"/>
      <c r="E420" s="12"/>
    </row>
    <row r="421">
      <c r="D421" s="12"/>
      <c r="E421" s="12"/>
    </row>
    <row r="422">
      <c r="D422" s="12"/>
      <c r="E422" s="12"/>
    </row>
    <row r="423">
      <c r="D423" s="12"/>
      <c r="E423" s="12"/>
    </row>
    <row r="424">
      <c r="D424" s="12"/>
      <c r="E424" s="12"/>
    </row>
    <row r="425">
      <c r="D425" s="12"/>
      <c r="E425" s="12"/>
    </row>
    <row r="426">
      <c r="D426" s="12"/>
      <c r="E426" s="12"/>
    </row>
    <row r="427">
      <c r="D427" s="12"/>
      <c r="E427" s="12"/>
    </row>
    <row r="428">
      <c r="D428" s="12"/>
      <c r="E428" s="12"/>
    </row>
    <row r="429">
      <c r="D429" s="12"/>
      <c r="E429" s="12"/>
    </row>
    <row r="430">
      <c r="D430" s="12"/>
      <c r="E430" s="12"/>
    </row>
    <row r="431">
      <c r="D431" s="12"/>
      <c r="E431" s="12"/>
    </row>
    <row r="432">
      <c r="D432" s="12"/>
      <c r="E432" s="12"/>
    </row>
    <row r="433">
      <c r="D433" s="12"/>
      <c r="E433" s="12"/>
    </row>
    <row r="434">
      <c r="D434" s="12"/>
      <c r="E434" s="12"/>
    </row>
    <row r="435">
      <c r="D435" s="12"/>
      <c r="E435" s="12"/>
    </row>
    <row r="436">
      <c r="D436" s="12"/>
      <c r="E436" s="12"/>
    </row>
    <row r="437">
      <c r="D437" s="12"/>
      <c r="E437" s="12"/>
    </row>
    <row r="438">
      <c r="D438" s="12"/>
      <c r="E438" s="12"/>
    </row>
    <row r="439">
      <c r="D439" s="12"/>
      <c r="E439" s="12"/>
    </row>
    <row r="440">
      <c r="D440" s="12"/>
      <c r="E440" s="12"/>
    </row>
    <row r="441">
      <c r="D441" s="12"/>
      <c r="E441" s="12"/>
    </row>
    <row r="442">
      <c r="D442" s="12"/>
      <c r="E442" s="12"/>
    </row>
    <row r="443">
      <c r="D443" s="12"/>
      <c r="E443" s="12"/>
    </row>
    <row r="444">
      <c r="D444" s="12"/>
      <c r="E444" s="12"/>
    </row>
    <row r="445">
      <c r="D445" s="12"/>
      <c r="E445" s="12"/>
    </row>
    <row r="446">
      <c r="D446" s="12"/>
      <c r="E446" s="12"/>
    </row>
    <row r="447">
      <c r="D447" s="12"/>
      <c r="E447" s="12"/>
    </row>
    <row r="448">
      <c r="D448" s="12"/>
      <c r="E448" s="12"/>
    </row>
    <row r="449">
      <c r="D449" s="12"/>
      <c r="E449" s="12"/>
    </row>
    <row r="450">
      <c r="D450" s="12"/>
      <c r="E450" s="12"/>
    </row>
    <row r="451">
      <c r="D451" s="12"/>
      <c r="E451" s="12"/>
    </row>
    <row r="452">
      <c r="D452" s="12"/>
      <c r="E452" s="12"/>
    </row>
    <row r="453">
      <c r="D453" s="12"/>
      <c r="E453" s="12"/>
    </row>
    <row r="454">
      <c r="D454" s="12"/>
      <c r="E454" s="12"/>
    </row>
    <row r="455">
      <c r="D455" s="12"/>
      <c r="E455" s="12"/>
    </row>
    <row r="456">
      <c r="D456" s="12"/>
      <c r="E456" s="12"/>
    </row>
    <row r="457">
      <c r="D457" s="12"/>
      <c r="E457" s="12"/>
    </row>
    <row r="458">
      <c r="D458" s="12"/>
      <c r="E458" s="12"/>
    </row>
    <row r="459">
      <c r="D459" s="12"/>
      <c r="E459" s="12"/>
    </row>
    <row r="460">
      <c r="D460" s="12"/>
      <c r="E460" s="12"/>
    </row>
    <row r="461">
      <c r="D461" s="12"/>
      <c r="E461" s="12"/>
    </row>
    <row r="462">
      <c r="D462" s="12"/>
      <c r="E462" s="12"/>
    </row>
    <row r="463">
      <c r="D463" s="12"/>
      <c r="E463" s="12"/>
    </row>
    <row r="464">
      <c r="D464" s="12"/>
      <c r="E464" s="12"/>
    </row>
    <row r="465">
      <c r="D465" s="12"/>
      <c r="E465" s="12"/>
    </row>
    <row r="466">
      <c r="D466" s="12"/>
      <c r="E466" s="12"/>
    </row>
    <row r="467">
      <c r="D467" s="12"/>
      <c r="E467" s="12"/>
    </row>
    <row r="468">
      <c r="D468" s="12"/>
      <c r="E468" s="12"/>
    </row>
    <row r="469">
      <c r="D469" s="12"/>
      <c r="E469" s="12"/>
    </row>
    <row r="470">
      <c r="D470" s="12"/>
      <c r="E470" s="12"/>
    </row>
    <row r="471">
      <c r="D471" s="12"/>
      <c r="E471" s="12"/>
    </row>
    <row r="472">
      <c r="D472" s="12"/>
      <c r="E472" s="12"/>
    </row>
    <row r="473">
      <c r="D473" s="12"/>
      <c r="E473" s="12"/>
    </row>
    <row r="474">
      <c r="D474" s="12"/>
      <c r="E474" s="12"/>
    </row>
    <row r="475">
      <c r="D475" s="12"/>
      <c r="E475" s="12"/>
    </row>
    <row r="476">
      <c r="D476" s="12"/>
      <c r="E476" s="12"/>
    </row>
    <row r="477">
      <c r="D477" s="12"/>
      <c r="E477" s="12"/>
    </row>
    <row r="478">
      <c r="D478" s="12"/>
      <c r="E478" s="12"/>
    </row>
    <row r="479">
      <c r="D479" s="12"/>
      <c r="E479" s="12"/>
    </row>
    <row r="480">
      <c r="D480" s="12"/>
      <c r="E480" s="12"/>
    </row>
    <row r="481">
      <c r="D481" s="12"/>
      <c r="E481" s="12"/>
    </row>
    <row r="482">
      <c r="D482" s="12"/>
      <c r="E482" s="12"/>
    </row>
    <row r="483">
      <c r="D483" s="12"/>
      <c r="E483" s="12"/>
    </row>
    <row r="484">
      <c r="D484" s="12"/>
      <c r="E484" s="12"/>
    </row>
    <row r="485">
      <c r="D485" s="12"/>
      <c r="E485" s="12"/>
    </row>
    <row r="486">
      <c r="D486" s="12"/>
      <c r="E486" s="12"/>
    </row>
    <row r="487">
      <c r="D487" s="12"/>
      <c r="E487" s="12"/>
    </row>
    <row r="488">
      <c r="D488" s="12"/>
      <c r="E488" s="12"/>
    </row>
    <row r="489">
      <c r="D489" s="12"/>
      <c r="E489" s="12"/>
    </row>
    <row r="490">
      <c r="D490" s="12"/>
      <c r="E490" s="12"/>
    </row>
    <row r="491">
      <c r="D491" s="12"/>
      <c r="E491" s="12"/>
    </row>
    <row r="492">
      <c r="D492" s="12"/>
      <c r="E492" s="12"/>
    </row>
    <row r="493">
      <c r="D493" s="12"/>
      <c r="E493" s="12"/>
    </row>
    <row r="494">
      <c r="D494" s="12"/>
      <c r="E494" s="12"/>
    </row>
    <row r="495">
      <c r="D495" s="12"/>
      <c r="E495" s="12"/>
    </row>
    <row r="496">
      <c r="D496" s="12"/>
      <c r="E496" s="12"/>
    </row>
    <row r="497">
      <c r="D497" s="12"/>
      <c r="E497" s="12"/>
    </row>
    <row r="498">
      <c r="D498" s="12"/>
      <c r="E498" s="12"/>
    </row>
    <row r="499">
      <c r="D499" s="12"/>
      <c r="E499" s="12"/>
    </row>
    <row r="500">
      <c r="D500" s="12"/>
      <c r="E500" s="12"/>
    </row>
    <row r="501">
      <c r="D501" s="12"/>
      <c r="E501" s="12"/>
    </row>
    <row r="502">
      <c r="D502" s="12"/>
      <c r="E502" s="12"/>
    </row>
    <row r="503">
      <c r="D503" s="12"/>
      <c r="E503" s="12"/>
    </row>
    <row r="504">
      <c r="D504" s="12"/>
      <c r="E504" s="12"/>
    </row>
    <row r="505">
      <c r="D505" s="12"/>
      <c r="E505" s="12"/>
    </row>
    <row r="506">
      <c r="D506" s="12"/>
      <c r="E506" s="12"/>
    </row>
    <row r="507">
      <c r="D507" s="12"/>
      <c r="E507" s="12"/>
    </row>
    <row r="508">
      <c r="D508" s="12"/>
      <c r="E508" s="12"/>
    </row>
    <row r="509">
      <c r="D509" s="12"/>
      <c r="E509" s="12"/>
    </row>
    <row r="510">
      <c r="D510" s="12"/>
      <c r="E510" s="12"/>
    </row>
    <row r="511">
      <c r="D511" s="12"/>
      <c r="E511" s="12"/>
    </row>
    <row r="512">
      <c r="D512" s="12"/>
      <c r="E512" s="12"/>
    </row>
    <row r="513">
      <c r="D513" s="12"/>
      <c r="E513" s="12"/>
    </row>
    <row r="514">
      <c r="D514" s="12"/>
      <c r="E514" s="12"/>
    </row>
    <row r="515">
      <c r="D515" s="12"/>
      <c r="E515" s="12"/>
    </row>
    <row r="516">
      <c r="D516" s="12"/>
      <c r="E516" s="12"/>
    </row>
    <row r="517">
      <c r="D517" s="12"/>
      <c r="E517" s="12"/>
    </row>
    <row r="518">
      <c r="D518" s="12"/>
      <c r="E518" s="12"/>
    </row>
    <row r="519">
      <c r="D519" s="12"/>
      <c r="E519" s="12"/>
    </row>
    <row r="520">
      <c r="D520" s="12"/>
      <c r="E520" s="12"/>
    </row>
    <row r="521">
      <c r="D521" s="12"/>
      <c r="E521" s="12"/>
    </row>
    <row r="522">
      <c r="D522" s="12"/>
      <c r="E522" s="12"/>
    </row>
    <row r="523">
      <c r="D523" s="12"/>
      <c r="E523" s="12"/>
    </row>
    <row r="524">
      <c r="D524" s="12"/>
      <c r="E524" s="12"/>
    </row>
    <row r="525">
      <c r="D525" s="12"/>
      <c r="E525" s="12"/>
    </row>
    <row r="526">
      <c r="D526" s="12"/>
      <c r="E526" s="12"/>
    </row>
    <row r="527">
      <c r="D527" s="12"/>
      <c r="E527" s="12"/>
    </row>
    <row r="528">
      <c r="D528" s="12"/>
      <c r="E528" s="12"/>
    </row>
    <row r="529">
      <c r="D529" s="12"/>
      <c r="E529" s="12"/>
    </row>
    <row r="530">
      <c r="D530" s="12"/>
      <c r="E530" s="12"/>
    </row>
    <row r="531">
      <c r="D531" s="12"/>
      <c r="E531" s="12"/>
    </row>
    <row r="532">
      <c r="D532" s="12"/>
      <c r="E532" s="12"/>
    </row>
    <row r="533">
      <c r="D533" s="12"/>
      <c r="E533" s="12"/>
    </row>
    <row r="534">
      <c r="D534" s="12"/>
      <c r="E534" s="12"/>
    </row>
    <row r="535">
      <c r="D535" s="12"/>
      <c r="E535" s="12"/>
    </row>
    <row r="536">
      <c r="D536" s="12"/>
      <c r="E536" s="12"/>
    </row>
    <row r="537">
      <c r="D537" s="12"/>
      <c r="E537" s="12"/>
    </row>
    <row r="538">
      <c r="D538" s="12"/>
      <c r="E538" s="12"/>
    </row>
    <row r="539">
      <c r="D539" s="12"/>
      <c r="E539" s="12"/>
    </row>
    <row r="540">
      <c r="D540" s="12"/>
      <c r="E540" s="12"/>
    </row>
    <row r="541">
      <c r="D541" s="12"/>
      <c r="E541" s="12"/>
    </row>
    <row r="542">
      <c r="D542" s="12"/>
      <c r="E542" s="12"/>
    </row>
    <row r="543">
      <c r="D543" s="12"/>
      <c r="E543" s="12"/>
    </row>
    <row r="544">
      <c r="D544" s="12"/>
      <c r="E544" s="12"/>
    </row>
    <row r="545">
      <c r="D545" s="12"/>
      <c r="E545" s="12"/>
    </row>
    <row r="546">
      <c r="D546" s="12"/>
      <c r="E546" s="12"/>
    </row>
    <row r="547">
      <c r="D547" s="12"/>
      <c r="E547" s="12"/>
    </row>
    <row r="548">
      <c r="D548" s="12"/>
      <c r="E548" s="12"/>
    </row>
    <row r="549">
      <c r="D549" s="12"/>
      <c r="E549" s="12"/>
    </row>
    <row r="550">
      <c r="D550" s="12"/>
      <c r="E550" s="12"/>
    </row>
    <row r="551">
      <c r="D551" s="12"/>
      <c r="E551" s="12"/>
    </row>
    <row r="552">
      <c r="D552" s="12"/>
      <c r="E552" s="12"/>
    </row>
    <row r="553">
      <c r="D553" s="12"/>
      <c r="E553" s="12"/>
    </row>
    <row r="554">
      <c r="D554" s="12"/>
      <c r="E554" s="12"/>
    </row>
    <row r="555">
      <c r="D555" s="12"/>
      <c r="E555" s="12"/>
    </row>
    <row r="556">
      <c r="D556" s="12"/>
      <c r="E556" s="12"/>
    </row>
    <row r="557">
      <c r="D557" s="12"/>
      <c r="E557" s="12"/>
    </row>
    <row r="558">
      <c r="D558" s="12"/>
      <c r="E558" s="12"/>
    </row>
    <row r="559">
      <c r="D559" s="12"/>
      <c r="E559" s="12"/>
    </row>
    <row r="560">
      <c r="D560" s="12"/>
      <c r="E560" s="12"/>
    </row>
    <row r="561">
      <c r="D561" s="12"/>
      <c r="E561" s="12"/>
    </row>
    <row r="562">
      <c r="D562" s="12"/>
      <c r="E562" s="12"/>
    </row>
    <row r="563">
      <c r="D563" s="12"/>
      <c r="E563" s="12"/>
    </row>
    <row r="564">
      <c r="D564" s="12"/>
      <c r="E564" s="12"/>
    </row>
    <row r="565">
      <c r="D565" s="12"/>
      <c r="E565" s="12"/>
    </row>
    <row r="566">
      <c r="D566" s="12"/>
      <c r="E566" s="12"/>
    </row>
    <row r="567">
      <c r="D567" s="12"/>
      <c r="E567" s="12"/>
    </row>
    <row r="568">
      <c r="D568" s="12"/>
      <c r="E568" s="12"/>
    </row>
    <row r="569">
      <c r="D569" s="12"/>
      <c r="E569" s="12"/>
    </row>
    <row r="570">
      <c r="D570" s="12"/>
      <c r="E570" s="12"/>
    </row>
    <row r="571">
      <c r="D571" s="12"/>
      <c r="E571" s="12"/>
    </row>
    <row r="572">
      <c r="D572" s="12"/>
      <c r="E572" s="12"/>
    </row>
    <row r="573">
      <c r="D573" s="12"/>
      <c r="E573" s="12"/>
    </row>
    <row r="574">
      <c r="D574" s="12"/>
      <c r="E574" s="12"/>
    </row>
    <row r="575">
      <c r="D575" s="12"/>
      <c r="E575" s="12"/>
    </row>
    <row r="576">
      <c r="D576" s="12"/>
      <c r="E576" s="12"/>
    </row>
    <row r="577">
      <c r="D577" s="12"/>
      <c r="E577" s="12"/>
    </row>
    <row r="578">
      <c r="D578" s="12"/>
      <c r="E578" s="12"/>
    </row>
    <row r="579">
      <c r="D579" s="12"/>
      <c r="E579" s="12"/>
    </row>
    <row r="580">
      <c r="D580" s="12"/>
      <c r="E580" s="12"/>
    </row>
    <row r="581">
      <c r="D581" s="12"/>
      <c r="E581" s="12"/>
    </row>
    <row r="582">
      <c r="D582" s="12"/>
      <c r="E582" s="12"/>
    </row>
    <row r="583">
      <c r="D583" s="12"/>
      <c r="E583" s="12"/>
    </row>
    <row r="584">
      <c r="D584" s="12"/>
      <c r="E584" s="12"/>
    </row>
    <row r="585">
      <c r="D585" s="12"/>
      <c r="E585" s="12"/>
    </row>
    <row r="586">
      <c r="D586" s="12"/>
      <c r="E586" s="12"/>
    </row>
    <row r="587">
      <c r="D587" s="12"/>
      <c r="E587" s="12"/>
    </row>
    <row r="588">
      <c r="D588" s="12"/>
      <c r="E588" s="12"/>
    </row>
    <row r="589">
      <c r="D589" s="12"/>
      <c r="E589" s="12"/>
    </row>
    <row r="590">
      <c r="D590" s="12"/>
      <c r="E590" s="12"/>
    </row>
    <row r="591">
      <c r="D591" s="12"/>
      <c r="E591" s="12"/>
    </row>
    <row r="592">
      <c r="D592" s="12"/>
      <c r="E592" s="12"/>
    </row>
    <row r="593">
      <c r="D593" s="12"/>
      <c r="E593" s="12"/>
    </row>
    <row r="594">
      <c r="D594" s="12"/>
      <c r="E594" s="12"/>
    </row>
    <row r="595">
      <c r="D595" s="12"/>
      <c r="E595" s="12"/>
    </row>
    <row r="596">
      <c r="D596" s="12"/>
      <c r="E596" s="12"/>
    </row>
    <row r="597">
      <c r="D597" s="12"/>
      <c r="E597" s="12"/>
    </row>
    <row r="598">
      <c r="D598" s="12"/>
      <c r="E598" s="12"/>
    </row>
    <row r="599">
      <c r="D599" s="12"/>
      <c r="E599" s="12"/>
    </row>
    <row r="600">
      <c r="D600" s="12"/>
      <c r="E600" s="12"/>
    </row>
    <row r="601">
      <c r="D601" s="12"/>
      <c r="E601" s="12"/>
    </row>
    <row r="602">
      <c r="D602" s="12"/>
      <c r="E602" s="12"/>
    </row>
    <row r="603">
      <c r="D603" s="12"/>
      <c r="E603" s="12"/>
    </row>
    <row r="604">
      <c r="D604" s="12"/>
      <c r="E604" s="12"/>
    </row>
    <row r="605">
      <c r="D605" s="12"/>
      <c r="E605" s="12"/>
    </row>
    <row r="606">
      <c r="D606" s="12"/>
      <c r="E606" s="12"/>
    </row>
    <row r="607">
      <c r="D607" s="12"/>
      <c r="E607" s="12"/>
    </row>
    <row r="608">
      <c r="D608" s="12"/>
      <c r="E608" s="12"/>
    </row>
    <row r="609">
      <c r="D609" s="12"/>
      <c r="E609" s="12"/>
    </row>
    <row r="610">
      <c r="D610" s="12"/>
      <c r="E610" s="12"/>
    </row>
    <row r="611">
      <c r="D611" s="12"/>
      <c r="E611" s="12"/>
    </row>
    <row r="612">
      <c r="D612" s="12"/>
      <c r="E612" s="12"/>
    </row>
    <row r="613">
      <c r="D613" s="12"/>
      <c r="E613" s="12"/>
    </row>
    <row r="614">
      <c r="D614" s="12"/>
      <c r="E614" s="12"/>
    </row>
    <row r="615">
      <c r="D615" s="12"/>
      <c r="E615" s="12"/>
    </row>
    <row r="616">
      <c r="D616" s="12"/>
      <c r="E616" s="12"/>
    </row>
    <row r="617">
      <c r="D617" s="12"/>
      <c r="E617" s="12"/>
    </row>
    <row r="618">
      <c r="D618" s="12"/>
      <c r="E618" s="12"/>
    </row>
    <row r="619">
      <c r="D619" s="12"/>
      <c r="E619" s="12"/>
    </row>
    <row r="620">
      <c r="D620" s="12"/>
      <c r="E620" s="12"/>
    </row>
    <row r="621">
      <c r="D621" s="12"/>
      <c r="E621" s="12"/>
    </row>
    <row r="622">
      <c r="D622" s="12"/>
      <c r="E622" s="12"/>
    </row>
    <row r="623">
      <c r="D623" s="12"/>
      <c r="E623" s="12"/>
    </row>
    <row r="624">
      <c r="D624" s="12"/>
      <c r="E624" s="12"/>
    </row>
    <row r="625">
      <c r="D625" s="12"/>
      <c r="E625" s="12"/>
    </row>
    <row r="626">
      <c r="D626" s="12"/>
      <c r="E626" s="12"/>
    </row>
    <row r="627">
      <c r="D627" s="12"/>
      <c r="E627" s="12"/>
    </row>
    <row r="628">
      <c r="D628" s="12"/>
      <c r="E628" s="12"/>
    </row>
    <row r="629">
      <c r="D629" s="12"/>
      <c r="E629" s="12"/>
    </row>
    <row r="630">
      <c r="D630" s="12"/>
      <c r="E630" s="12"/>
    </row>
    <row r="631">
      <c r="D631" s="12"/>
      <c r="E631" s="12"/>
    </row>
    <row r="632">
      <c r="D632" s="12"/>
      <c r="E632" s="12"/>
    </row>
    <row r="633">
      <c r="D633" s="12"/>
      <c r="E633" s="12"/>
    </row>
    <row r="634">
      <c r="D634" s="12"/>
      <c r="E634" s="12"/>
    </row>
    <row r="635">
      <c r="D635" s="12"/>
      <c r="E635" s="12"/>
    </row>
    <row r="636">
      <c r="D636" s="12"/>
      <c r="E636" s="12"/>
    </row>
    <row r="637">
      <c r="D637" s="12"/>
      <c r="E637" s="12"/>
    </row>
    <row r="638">
      <c r="D638" s="12"/>
      <c r="E638" s="12"/>
    </row>
    <row r="639">
      <c r="D639" s="12"/>
      <c r="E639" s="12"/>
    </row>
    <row r="640">
      <c r="D640" s="12"/>
      <c r="E640" s="12"/>
    </row>
    <row r="641">
      <c r="D641" s="12"/>
      <c r="E641" s="12"/>
    </row>
    <row r="642">
      <c r="D642" s="12"/>
      <c r="E642" s="12"/>
    </row>
    <row r="643">
      <c r="D643" s="12"/>
      <c r="E643" s="12"/>
    </row>
    <row r="644">
      <c r="D644" s="12"/>
      <c r="E644" s="12"/>
    </row>
    <row r="645">
      <c r="D645" s="12"/>
      <c r="E645" s="12"/>
    </row>
    <row r="646">
      <c r="D646" s="12"/>
      <c r="E646" s="12"/>
    </row>
    <row r="647">
      <c r="D647" s="12"/>
      <c r="E647" s="12"/>
    </row>
    <row r="648">
      <c r="D648" s="12"/>
      <c r="E648" s="12"/>
    </row>
    <row r="649">
      <c r="D649" s="12"/>
      <c r="E649" s="12"/>
    </row>
    <row r="650">
      <c r="D650" s="12"/>
      <c r="E650" s="12"/>
    </row>
    <row r="651">
      <c r="D651" s="12"/>
      <c r="E651" s="12"/>
    </row>
    <row r="652">
      <c r="D652" s="12"/>
      <c r="E652" s="12"/>
    </row>
    <row r="653">
      <c r="D653" s="12"/>
      <c r="E653" s="12"/>
    </row>
    <row r="654">
      <c r="D654" s="12"/>
      <c r="E654" s="12"/>
    </row>
    <row r="655">
      <c r="D655" s="12"/>
      <c r="E655" s="12"/>
    </row>
    <row r="656">
      <c r="D656" s="12"/>
      <c r="E656" s="12"/>
    </row>
    <row r="657">
      <c r="D657" s="12"/>
      <c r="E657" s="12"/>
    </row>
    <row r="658">
      <c r="D658" s="12"/>
      <c r="E658" s="12"/>
    </row>
    <row r="659">
      <c r="D659" s="12"/>
      <c r="E659" s="12"/>
    </row>
    <row r="660">
      <c r="D660" s="12"/>
      <c r="E660" s="12"/>
    </row>
    <row r="661">
      <c r="D661" s="12"/>
      <c r="E661" s="12"/>
    </row>
    <row r="662">
      <c r="D662" s="12"/>
      <c r="E662" s="12"/>
    </row>
    <row r="663">
      <c r="D663" s="12"/>
      <c r="E663" s="12"/>
    </row>
    <row r="664">
      <c r="D664" s="12"/>
      <c r="E664" s="12"/>
    </row>
    <row r="665">
      <c r="D665" s="12"/>
      <c r="E665" s="12"/>
    </row>
    <row r="666">
      <c r="D666" s="12"/>
      <c r="E666" s="12"/>
    </row>
    <row r="667">
      <c r="D667" s="12"/>
      <c r="E667" s="12"/>
    </row>
    <row r="668">
      <c r="D668" s="12"/>
      <c r="E668" s="12"/>
    </row>
    <row r="669">
      <c r="D669" s="12"/>
      <c r="E669" s="12"/>
    </row>
    <row r="670">
      <c r="D670" s="12"/>
      <c r="E670" s="12"/>
    </row>
    <row r="671">
      <c r="D671" s="12"/>
      <c r="E671" s="12"/>
    </row>
    <row r="672">
      <c r="D672" s="12"/>
      <c r="E672" s="12"/>
    </row>
    <row r="673">
      <c r="D673" s="12"/>
      <c r="E673" s="12"/>
    </row>
    <row r="674">
      <c r="D674" s="12"/>
      <c r="E674" s="12"/>
    </row>
    <row r="675">
      <c r="D675" s="12"/>
      <c r="E675" s="12"/>
    </row>
    <row r="676">
      <c r="D676" s="12"/>
      <c r="E676" s="12"/>
    </row>
    <row r="677">
      <c r="D677" s="12"/>
      <c r="E677" s="12"/>
    </row>
    <row r="678">
      <c r="D678" s="12"/>
      <c r="E678" s="12"/>
    </row>
    <row r="679">
      <c r="D679" s="12"/>
      <c r="E679" s="12"/>
    </row>
    <row r="680">
      <c r="D680" s="12"/>
      <c r="E680" s="12"/>
    </row>
    <row r="681">
      <c r="D681" s="12"/>
      <c r="E681" s="12"/>
    </row>
    <row r="682">
      <c r="D682" s="12"/>
      <c r="E682" s="12"/>
    </row>
    <row r="683">
      <c r="D683" s="12"/>
      <c r="E683" s="12"/>
    </row>
    <row r="684">
      <c r="D684" s="12"/>
      <c r="E684" s="12"/>
    </row>
    <row r="685">
      <c r="D685" s="12"/>
      <c r="E685" s="12"/>
    </row>
    <row r="686">
      <c r="D686" s="12"/>
      <c r="E686" s="12"/>
    </row>
    <row r="687">
      <c r="D687" s="12"/>
      <c r="E687" s="12"/>
    </row>
    <row r="688">
      <c r="D688" s="12"/>
      <c r="E688" s="12"/>
    </row>
    <row r="689">
      <c r="D689" s="12"/>
      <c r="E689" s="12"/>
    </row>
    <row r="690">
      <c r="D690" s="12"/>
      <c r="E690" s="12"/>
    </row>
    <row r="691">
      <c r="D691" s="12"/>
      <c r="E691" s="12"/>
    </row>
    <row r="692">
      <c r="D692" s="12"/>
      <c r="E692" s="12"/>
    </row>
    <row r="693">
      <c r="D693" s="12"/>
      <c r="E693" s="12"/>
    </row>
    <row r="694">
      <c r="D694" s="12"/>
      <c r="E694" s="12"/>
    </row>
    <row r="695">
      <c r="D695" s="12"/>
      <c r="E695" s="12"/>
    </row>
    <row r="696">
      <c r="D696" s="12"/>
      <c r="E696" s="12"/>
    </row>
    <row r="697">
      <c r="D697" s="12"/>
      <c r="E697" s="12"/>
    </row>
    <row r="698">
      <c r="D698" s="12"/>
      <c r="E698" s="12"/>
    </row>
    <row r="699">
      <c r="D699" s="12"/>
      <c r="E699" s="12"/>
    </row>
    <row r="700">
      <c r="D700" s="12"/>
      <c r="E700" s="12"/>
    </row>
    <row r="701">
      <c r="D701" s="12"/>
      <c r="E701" s="12"/>
    </row>
    <row r="702">
      <c r="D702" s="12"/>
      <c r="E702" s="12"/>
    </row>
    <row r="703">
      <c r="D703" s="12"/>
      <c r="E703" s="12"/>
    </row>
    <row r="704">
      <c r="D704" s="12"/>
      <c r="E704" s="12"/>
    </row>
    <row r="705">
      <c r="D705" s="12"/>
      <c r="E705" s="12"/>
    </row>
    <row r="706">
      <c r="D706" s="12"/>
      <c r="E706" s="12"/>
    </row>
    <row r="707">
      <c r="D707" s="12"/>
      <c r="E707" s="12"/>
    </row>
    <row r="708">
      <c r="D708" s="12"/>
      <c r="E708" s="12"/>
    </row>
    <row r="709">
      <c r="D709" s="12"/>
      <c r="E709" s="12"/>
    </row>
    <row r="710">
      <c r="D710" s="12"/>
      <c r="E710" s="12"/>
    </row>
    <row r="711">
      <c r="D711" s="12"/>
      <c r="E711" s="12"/>
    </row>
    <row r="712">
      <c r="D712" s="12"/>
      <c r="E712" s="12"/>
    </row>
    <row r="713">
      <c r="D713" s="12"/>
      <c r="E713" s="12"/>
    </row>
    <row r="714">
      <c r="D714" s="12"/>
      <c r="E714" s="12"/>
    </row>
    <row r="715">
      <c r="D715" s="12"/>
      <c r="E715" s="12"/>
    </row>
    <row r="716">
      <c r="D716" s="12"/>
      <c r="E716" s="12"/>
    </row>
    <row r="717">
      <c r="D717" s="12"/>
      <c r="E717" s="12"/>
    </row>
    <row r="718">
      <c r="D718" s="12"/>
      <c r="E718" s="12"/>
    </row>
    <row r="719">
      <c r="D719" s="12"/>
      <c r="E719" s="12"/>
    </row>
    <row r="720">
      <c r="D720" s="12"/>
      <c r="E720" s="12"/>
    </row>
    <row r="721">
      <c r="D721" s="12"/>
      <c r="E721" s="12"/>
    </row>
    <row r="722">
      <c r="D722" s="12"/>
      <c r="E722" s="12"/>
    </row>
    <row r="723">
      <c r="D723" s="12"/>
      <c r="E723" s="12"/>
    </row>
    <row r="724">
      <c r="D724" s="12"/>
      <c r="E724" s="12"/>
    </row>
    <row r="725">
      <c r="D725" s="12"/>
      <c r="E725" s="12"/>
    </row>
    <row r="726">
      <c r="D726" s="12"/>
      <c r="E726" s="12"/>
    </row>
    <row r="727">
      <c r="D727" s="12"/>
      <c r="E727" s="12"/>
    </row>
    <row r="728">
      <c r="D728" s="12"/>
      <c r="E728" s="12"/>
    </row>
    <row r="729">
      <c r="D729" s="12"/>
      <c r="E729" s="12"/>
    </row>
    <row r="730">
      <c r="D730" s="12"/>
      <c r="E730" s="12"/>
    </row>
    <row r="731">
      <c r="D731" s="12"/>
      <c r="E731" s="12"/>
    </row>
    <row r="732">
      <c r="D732" s="12"/>
      <c r="E732" s="12"/>
    </row>
    <row r="733">
      <c r="D733" s="12"/>
      <c r="E733" s="12"/>
    </row>
    <row r="734">
      <c r="D734" s="12"/>
      <c r="E734" s="12"/>
    </row>
    <row r="735">
      <c r="D735" s="12"/>
      <c r="E735" s="12"/>
    </row>
    <row r="736">
      <c r="D736" s="12"/>
      <c r="E736" s="12"/>
    </row>
    <row r="737">
      <c r="D737" s="12"/>
      <c r="E737" s="12"/>
    </row>
    <row r="738">
      <c r="D738" s="12"/>
      <c r="E738" s="12"/>
    </row>
    <row r="739">
      <c r="D739" s="12"/>
      <c r="E739" s="12"/>
    </row>
    <row r="740">
      <c r="D740" s="12"/>
      <c r="E740" s="12"/>
    </row>
    <row r="741">
      <c r="D741" s="12"/>
      <c r="E741" s="12"/>
    </row>
    <row r="742">
      <c r="D742" s="12"/>
      <c r="E742" s="12"/>
    </row>
    <row r="743">
      <c r="D743" s="12"/>
      <c r="E743" s="12"/>
    </row>
    <row r="744">
      <c r="D744" s="12"/>
      <c r="E744" s="12"/>
    </row>
    <row r="745">
      <c r="D745" s="12"/>
      <c r="E745" s="12"/>
    </row>
    <row r="746">
      <c r="D746" s="12"/>
      <c r="E746" s="12"/>
    </row>
    <row r="747">
      <c r="D747" s="12"/>
      <c r="E747" s="12"/>
    </row>
    <row r="748">
      <c r="D748" s="12"/>
      <c r="E748" s="12"/>
    </row>
    <row r="749">
      <c r="D749" s="12"/>
      <c r="E749" s="12"/>
    </row>
    <row r="750">
      <c r="D750" s="12"/>
      <c r="E750" s="12"/>
    </row>
    <row r="751">
      <c r="D751" s="12"/>
      <c r="E751" s="12"/>
    </row>
    <row r="752">
      <c r="D752" s="12"/>
      <c r="E752" s="12"/>
    </row>
    <row r="753">
      <c r="D753" s="12"/>
      <c r="E753" s="12"/>
    </row>
    <row r="754">
      <c r="D754" s="12"/>
      <c r="E754" s="12"/>
    </row>
    <row r="755">
      <c r="D755" s="12"/>
      <c r="E755" s="12"/>
    </row>
    <row r="756">
      <c r="D756" s="12"/>
      <c r="E756" s="12"/>
    </row>
    <row r="757">
      <c r="D757" s="12"/>
      <c r="E757" s="12"/>
    </row>
    <row r="758">
      <c r="D758" s="12"/>
      <c r="E758" s="12"/>
    </row>
    <row r="759">
      <c r="D759" s="12"/>
      <c r="E759" s="12"/>
    </row>
    <row r="760">
      <c r="D760" s="12"/>
      <c r="E760" s="12"/>
    </row>
    <row r="761">
      <c r="D761" s="12"/>
      <c r="E761" s="12"/>
    </row>
    <row r="762">
      <c r="D762" s="12"/>
      <c r="E762" s="12"/>
    </row>
    <row r="763">
      <c r="D763" s="12"/>
      <c r="E763" s="12"/>
    </row>
    <row r="764">
      <c r="D764" s="12"/>
      <c r="E764" s="12"/>
    </row>
    <row r="765">
      <c r="D765" s="12"/>
      <c r="E765" s="12"/>
    </row>
    <row r="766">
      <c r="D766" s="12"/>
      <c r="E766" s="12"/>
    </row>
    <row r="767">
      <c r="D767" s="12"/>
      <c r="E767" s="12"/>
    </row>
    <row r="768">
      <c r="D768" s="12"/>
      <c r="E768" s="12"/>
    </row>
    <row r="769">
      <c r="D769" s="12"/>
      <c r="E769" s="12"/>
    </row>
    <row r="770">
      <c r="D770" s="12"/>
      <c r="E770" s="12"/>
    </row>
    <row r="771">
      <c r="D771" s="12"/>
      <c r="E771" s="12"/>
    </row>
    <row r="772">
      <c r="D772" s="12"/>
      <c r="E772" s="12"/>
    </row>
    <row r="773">
      <c r="D773" s="12"/>
      <c r="E773" s="12"/>
    </row>
    <row r="774">
      <c r="D774" s="12"/>
      <c r="E774" s="12"/>
    </row>
    <row r="775">
      <c r="D775" s="12"/>
      <c r="E775" s="12"/>
    </row>
    <row r="776">
      <c r="D776" s="12"/>
      <c r="E776" s="12"/>
    </row>
    <row r="777">
      <c r="D777" s="12"/>
      <c r="E777" s="12"/>
    </row>
    <row r="778">
      <c r="D778" s="12"/>
      <c r="E778" s="12"/>
    </row>
    <row r="779">
      <c r="D779" s="12"/>
      <c r="E779" s="12"/>
    </row>
    <row r="780">
      <c r="D780" s="12"/>
      <c r="E780" s="12"/>
    </row>
    <row r="781">
      <c r="D781" s="12"/>
      <c r="E781" s="12"/>
    </row>
    <row r="782">
      <c r="D782" s="12"/>
      <c r="E782" s="12"/>
    </row>
    <row r="783">
      <c r="D783" s="12"/>
      <c r="E783" s="12"/>
    </row>
    <row r="784">
      <c r="D784" s="12"/>
      <c r="E784" s="12"/>
    </row>
    <row r="785">
      <c r="D785" s="12"/>
      <c r="E785" s="12"/>
    </row>
    <row r="786">
      <c r="D786" s="12"/>
      <c r="E786" s="12"/>
    </row>
    <row r="787">
      <c r="D787" s="12"/>
      <c r="E787" s="12"/>
    </row>
    <row r="788">
      <c r="D788" s="12"/>
      <c r="E788" s="12"/>
    </row>
    <row r="789">
      <c r="D789" s="12"/>
      <c r="E789" s="12"/>
    </row>
    <row r="790">
      <c r="D790" s="12"/>
      <c r="E790" s="12"/>
    </row>
    <row r="791">
      <c r="D791" s="12"/>
      <c r="E791" s="12"/>
    </row>
    <row r="792">
      <c r="D792" s="12"/>
      <c r="E792" s="12"/>
    </row>
    <row r="793">
      <c r="D793" s="12"/>
      <c r="E793" s="12"/>
    </row>
    <row r="794">
      <c r="D794" s="12"/>
      <c r="E794" s="12"/>
    </row>
    <row r="795">
      <c r="D795" s="12"/>
      <c r="E795" s="12"/>
    </row>
    <row r="796">
      <c r="D796" s="12"/>
      <c r="E796" s="12"/>
    </row>
    <row r="797">
      <c r="D797" s="12"/>
      <c r="E797" s="12"/>
    </row>
    <row r="798">
      <c r="D798" s="12"/>
      <c r="E798" s="12"/>
    </row>
    <row r="799">
      <c r="D799" s="12"/>
      <c r="E799" s="12"/>
    </row>
    <row r="800">
      <c r="D800" s="12"/>
      <c r="E800" s="12"/>
    </row>
    <row r="801">
      <c r="D801" s="12"/>
      <c r="E801" s="12"/>
    </row>
    <row r="802">
      <c r="D802" s="12"/>
      <c r="E802" s="12"/>
    </row>
    <row r="803">
      <c r="D803" s="12"/>
      <c r="E803" s="12"/>
    </row>
    <row r="804">
      <c r="D804" s="12"/>
      <c r="E804" s="12"/>
    </row>
    <row r="805">
      <c r="D805" s="12"/>
      <c r="E805" s="12"/>
    </row>
    <row r="806">
      <c r="D806" s="12"/>
      <c r="E806" s="12"/>
    </row>
    <row r="807">
      <c r="D807" s="12"/>
      <c r="E807" s="12"/>
    </row>
    <row r="808">
      <c r="D808" s="12"/>
      <c r="E808" s="12"/>
    </row>
    <row r="809">
      <c r="D809" s="12"/>
      <c r="E809" s="12"/>
    </row>
    <row r="810">
      <c r="D810" s="12"/>
      <c r="E810" s="12"/>
    </row>
    <row r="811">
      <c r="D811" s="12"/>
      <c r="E811" s="12"/>
    </row>
    <row r="812">
      <c r="D812" s="12"/>
      <c r="E812" s="12"/>
    </row>
    <row r="813">
      <c r="D813" s="12"/>
      <c r="E813" s="12"/>
    </row>
    <row r="814">
      <c r="D814" s="12"/>
      <c r="E814" s="12"/>
    </row>
    <row r="815">
      <c r="D815" s="12"/>
      <c r="E815" s="12"/>
    </row>
    <row r="816">
      <c r="D816" s="12"/>
      <c r="E816" s="12"/>
    </row>
    <row r="817">
      <c r="D817" s="12"/>
      <c r="E817" s="12"/>
    </row>
    <row r="818">
      <c r="D818" s="12"/>
      <c r="E818" s="12"/>
    </row>
    <row r="819">
      <c r="D819" s="12"/>
      <c r="E819" s="12"/>
    </row>
    <row r="820">
      <c r="D820" s="12"/>
      <c r="E820" s="12"/>
    </row>
    <row r="821">
      <c r="D821" s="12"/>
      <c r="E821" s="12"/>
    </row>
    <row r="822">
      <c r="D822" s="12"/>
      <c r="E822" s="12"/>
    </row>
    <row r="823">
      <c r="D823" s="12"/>
      <c r="E823" s="12"/>
    </row>
    <row r="824">
      <c r="D824" s="12"/>
      <c r="E824" s="12"/>
    </row>
    <row r="825">
      <c r="D825" s="12"/>
      <c r="E825" s="12"/>
    </row>
    <row r="826">
      <c r="D826" s="12"/>
      <c r="E826" s="12"/>
    </row>
    <row r="827">
      <c r="D827" s="12"/>
      <c r="E827" s="12"/>
    </row>
    <row r="828">
      <c r="D828" s="12"/>
      <c r="E828" s="12"/>
    </row>
    <row r="829">
      <c r="D829" s="12"/>
      <c r="E829" s="12"/>
    </row>
    <row r="830">
      <c r="D830" s="12"/>
      <c r="E830" s="12"/>
    </row>
    <row r="831">
      <c r="D831" s="12"/>
      <c r="E831" s="12"/>
    </row>
    <row r="832">
      <c r="D832" s="12"/>
      <c r="E832" s="12"/>
    </row>
    <row r="833">
      <c r="D833" s="12"/>
      <c r="E833" s="12"/>
    </row>
    <row r="834">
      <c r="D834" s="12"/>
      <c r="E834" s="12"/>
    </row>
    <row r="835">
      <c r="D835" s="12"/>
      <c r="E835" s="12"/>
    </row>
    <row r="836">
      <c r="D836" s="12"/>
      <c r="E836" s="12"/>
    </row>
    <row r="837">
      <c r="D837" s="12"/>
      <c r="E837" s="12"/>
    </row>
    <row r="838">
      <c r="D838" s="12"/>
      <c r="E838" s="12"/>
    </row>
    <row r="839">
      <c r="D839" s="12"/>
      <c r="E839" s="12"/>
    </row>
    <row r="840">
      <c r="D840" s="12"/>
      <c r="E840" s="12"/>
    </row>
    <row r="841">
      <c r="D841" s="12"/>
      <c r="E841" s="12"/>
    </row>
    <row r="842">
      <c r="D842" s="12"/>
      <c r="E842" s="12"/>
    </row>
    <row r="843">
      <c r="D843" s="12"/>
      <c r="E843" s="12"/>
    </row>
    <row r="844">
      <c r="D844" s="12"/>
      <c r="E844" s="12"/>
    </row>
    <row r="845">
      <c r="D845" s="12"/>
      <c r="E845" s="12"/>
    </row>
    <row r="846">
      <c r="D846" s="12"/>
      <c r="E846" s="12"/>
    </row>
    <row r="847">
      <c r="D847" s="12"/>
      <c r="E847" s="12"/>
    </row>
    <row r="848">
      <c r="D848" s="12"/>
      <c r="E848" s="12"/>
    </row>
    <row r="849">
      <c r="D849" s="12"/>
      <c r="E849" s="12"/>
    </row>
    <row r="850">
      <c r="D850" s="12"/>
      <c r="E850" s="12"/>
    </row>
    <row r="851">
      <c r="D851" s="12"/>
      <c r="E851" s="12"/>
    </row>
    <row r="852">
      <c r="D852" s="12"/>
      <c r="E852" s="12"/>
    </row>
    <row r="853">
      <c r="D853" s="12"/>
      <c r="E853" s="12"/>
    </row>
    <row r="854">
      <c r="D854" s="12"/>
      <c r="E854" s="12"/>
    </row>
    <row r="855">
      <c r="D855" s="12"/>
      <c r="E855" s="12"/>
    </row>
    <row r="856">
      <c r="D856" s="12"/>
      <c r="E856" s="12"/>
    </row>
    <row r="857">
      <c r="D857" s="12"/>
      <c r="E857" s="12"/>
    </row>
    <row r="858">
      <c r="D858" s="12"/>
      <c r="E858" s="12"/>
    </row>
    <row r="859">
      <c r="D859" s="12"/>
      <c r="E859" s="12"/>
    </row>
    <row r="860">
      <c r="D860" s="12"/>
      <c r="E860" s="12"/>
    </row>
    <row r="861">
      <c r="D861" s="12"/>
      <c r="E861" s="12"/>
    </row>
    <row r="862">
      <c r="D862" s="12"/>
      <c r="E862" s="12"/>
    </row>
    <row r="863">
      <c r="D863" s="12"/>
      <c r="E863" s="12"/>
    </row>
    <row r="864">
      <c r="D864" s="12"/>
      <c r="E864" s="12"/>
    </row>
    <row r="865">
      <c r="D865" s="12"/>
      <c r="E865" s="12"/>
    </row>
    <row r="866">
      <c r="D866" s="12"/>
      <c r="E866" s="12"/>
    </row>
    <row r="867">
      <c r="D867" s="12"/>
      <c r="E867" s="12"/>
    </row>
    <row r="868">
      <c r="D868" s="12"/>
      <c r="E868" s="12"/>
    </row>
    <row r="869">
      <c r="D869" s="12"/>
      <c r="E869" s="12"/>
    </row>
    <row r="870">
      <c r="D870" s="12"/>
      <c r="E870" s="12"/>
    </row>
    <row r="871">
      <c r="D871" s="12"/>
      <c r="E871" s="12"/>
    </row>
    <row r="872">
      <c r="D872" s="12"/>
      <c r="E872" s="12"/>
    </row>
    <row r="873">
      <c r="D873" s="12"/>
      <c r="E873" s="12"/>
    </row>
    <row r="874">
      <c r="D874" s="12"/>
      <c r="E874" s="12"/>
    </row>
    <row r="875">
      <c r="D875" s="12"/>
      <c r="E875" s="12"/>
    </row>
    <row r="876">
      <c r="D876" s="12"/>
      <c r="E876" s="12"/>
    </row>
    <row r="877">
      <c r="D877" s="12"/>
      <c r="E877" s="12"/>
    </row>
    <row r="878">
      <c r="D878" s="12"/>
      <c r="E878" s="12"/>
    </row>
    <row r="879">
      <c r="D879" s="12"/>
      <c r="E879" s="12"/>
    </row>
    <row r="880">
      <c r="D880" s="12"/>
      <c r="E880" s="12"/>
    </row>
    <row r="881">
      <c r="D881" s="12"/>
      <c r="E881" s="12"/>
    </row>
    <row r="882">
      <c r="D882" s="12"/>
      <c r="E882" s="12"/>
    </row>
    <row r="883">
      <c r="D883" s="12"/>
      <c r="E883" s="12"/>
    </row>
    <row r="884">
      <c r="D884" s="12"/>
      <c r="E884" s="12"/>
    </row>
    <row r="885">
      <c r="D885" s="12"/>
      <c r="E885" s="12"/>
    </row>
    <row r="886">
      <c r="D886" s="12"/>
      <c r="E886" s="12"/>
    </row>
    <row r="887">
      <c r="D887" s="12"/>
      <c r="E887" s="12"/>
    </row>
    <row r="888">
      <c r="D888" s="12"/>
      <c r="E888" s="12"/>
    </row>
    <row r="889">
      <c r="D889" s="12"/>
      <c r="E889" s="12"/>
    </row>
    <row r="890">
      <c r="D890" s="12"/>
      <c r="E890" s="12"/>
    </row>
    <row r="891">
      <c r="D891" s="12"/>
      <c r="E891" s="12"/>
    </row>
    <row r="892">
      <c r="D892" s="12"/>
      <c r="E892" s="12"/>
    </row>
    <row r="893">
      <c r="D893" s="12"/>
      <c r="E893" s="12"/>
    </row>
    <row r="894">
      <c r="D894" s="12"/>
      <c r="E894" s="12"/>
    </row>
    <row r="895">
      <c r="D895" s="12"/>
      <c r="E895" s="12"/>
    </row>
    <row r="896">
      <c r="D896" s="12"/>
      <c r="E896" s="12"/>
    </row>
    <row r="897">
      <c r="D897" s="12"/>
      <c r="E897" s="12"/>
    </row>
    <row r="898">
      <c r="D898" s="12"/>
      <c r="E898" s="12"/>
    </row>
    <row r="899">
      <c r="D899" s="12"/>
      <c r="E899" s="12"/>
    </row>
    <row r="900">
      <c r="D900" s="12"/>
      <c r="E900" s="12"/>
    </row>
    <row r="901">
      <c r="D901" s="12"/>
      <c r="E901" s="12"/>
    </row>
    <row r="902">
      <c r="D902" s="12"/>
      <c r="E902" s="12"/>
    </row>
    <row r="903">
      <c r="D903" s="12"/>
      <c r="E903" s="12"/>
    </row>
    <row r="904">
      <c r="D904" s="12"/>
      <c r="E904" s="12"/>
    </row>
    <row r="905">
      <c r="D905" s="12"/>
      <c r="E905" s="12"/>
    </row>
    <row r="906">
      <c r="D906" s="12"/>
      <c r="E906" s="12"/>
    </row>
    <row r="907">
      <c r="D907" s="12"/>
      <c r="E907" s="12"/>
    </row>
    <row r="908">
      <c r="D908" s="12"/>
      <c r="E908" s="12"/>
    </row>
    <row r="909">
      <c r="D909" s="12"/>
      <c r="E909" s="12"/>
    </row>
    <row r="910">
      <c r="D910" s="12"/>
      <c r="E910" s="12"/>
    </row>
    <row r="911">
      <c r="D911" s="12"/>
      <c r="E911" s="12"/>
    </row>
    <row r="912">
      <c r="D912" s="12"/>
      <c r="E912" s="12"/>
    </row>
    <row r="913">
      <c r="D913" s="12"/>
      <c r="E913" s="12"/>
    </row>
    <row r="914">
      <c r="D914" s="12"/>
      <c r="E914" s="12"/>
    </row>
    <row r="915">
      <c r="D915" s="12"/>
      <c r="E915" s="12"/>
    </row>
    <row r="916">
      <c r="D916" s="12"/>
      <c r="E916" s="12"/>
    </row>
    <row r="917">
      <c r="D917" s="12"/>
      <c r="E917" s="12"/>
    </row>
    <row r="918">
      <c r="D918" s="12"/>
      <c r="E918" s="12"/>
    </row>
    <row r="919">
      <c r="D919" s="12"/>
      <c r="E919" s="12"/>
    </row>
    <row r="920">
      <c r="D920" s="12"/>
      <c r="E920" s="12"/>
    </row>
    <row r="921">
      <c r="D921" s="12"/>
      <c r="E921" s="12"/>
    </row>
    <row r="922">
      <c r="D922" s="12"/>
      <c r="E922" s="12"/>
    </row>
    <row r="923">
      <c r="D923" s="12"/>
      <c r="E923" s="12"/>
    </row>
    <row r="924">
      <c r="D924" s="12"/>
      <c r="E924" s="12"/>
    </row>
    <row r="925">
      <c r="D925" s="12"/>
      <c r="E925" s="12"/>
    </row>
    <row r="926">
      <c r="D926" s="12"/>
      <c r="E926" s="12"/>
    </row>
    <row r="927">
      <c r="D927" s="12"/>
      <c r="E927" s="12"/>
    </row>
    <row r="928">
      <c r="D928" s="12"/>
      <c r="E928" s="12"/>
    </row>
    <row r="929">
      <c r="D929" s="12"/>
      <c r="E929" s="12"/>
    </row>
    <row r="930">
      <c r="D930" s="12"/>
      <c r="E930" s="12"/>
    </row>
    <row r="931">
      <c r="D931" s="12"/>
      <c r="E931" s="12"/>
    </row>
    <row r="932">
      <c r="D932" s="12"/>
      <c r="E932" s="12"/>
    </row>
    <row r="933">
      <c r="D933" s="12"/>
      <c r="E933" s="12"/>
    </row>
    <row r="934">
      <c r="D934" s="12"/>
      <c r="E934" s="12"/>
    </row>
    <row r="935">
      <c r="D935" s="12"/>
      <c r="E935" s="12"/>
    </row>
    <row r="936">
      <c r="D936" s="12"/>
      <c r="E936" s="12"/>
    </row>
    <row r="937">
      <c r="D937" s="12"/>
      <c r="E937" s="12"/>
    </row>
    <row r="938">
      <c r="D938" s="12"/>
      <c r="E938" s="12"/>
    </row>
    <row r="939">
      <c r="D939" s="12"/>
      <c r="E939" s="12"/>
    </row>
    <row r="940">
      <c r="D940" s="12"/>
      <c r="E940" s="12"/>
    </row>
    <row r="941">
      <c r="D941" s="12"/>
      <c r="E941" s="12"/>
    </row>
    <row r="942">
      <c r="D942" s="12"/>
      <c r="E942" s="12"/>
    </row>
    <row r="943">
      <c r="D943" s="12"/>
      <c r="E943" s="12"/>
    </row>
    <row r="944">
      <c r="D944" s="12"/>
      <c r="E944" s="12"/>
    </row>
    <row r="945">
      <c r="D945" s="12"/>
      <c r="E945" s="12"/>
    </row>
    <row r="946">
      <c r="D946" s="12"/>
      <c r="E946" s="12"/>
    </row>
    <row r="947">
      <c r="D947" s="12"/>
      <c r="E947" s="12"/>
    </row>
    <row r="948">
      <c r="D948" s="12"/>
      <c r="E948" s="12"/>
    </row>
    <row r="949">
      <c r="D949" s="12"/>
      <c r="E949" s="12"/>
    </row>
    <row r="950">
      <c r="D950" s="12"/>
      <c r="E950" s="12"/>
    </row>
    <row r="951">
      <c r="D951" s="12"/>
      <c r="E951" s="12"/>
    </row>
    <row r="952">
      <c r="D952" s="12"/>
      <c r="E952" s="12"/>
    </row>
    <row r="953">
      <c r="D953" s="12"/>
      <c r="E953" s="12"/>
    </row>
    <row r="954">
      <c r="D954" s="12"/>
      <c r="E954" s="12"/>
    </row>
    <row r="955">
      <c r="D955" s="12"/>
      <c r="E955" s="12"/>
    </row>
    <row r="956">
      <c r="D956" s="12"/>
      <c r="E956" s="12"/>
    </row>
    <row r="957">
      <c r="D957" s="12"/>
      <c r="E957" s="12"/>
    </row>
    <row r="958">
      <c r="D958" s="12"/>
      <c r="E958" s="12"/>
    </row>
    <row r="959">
      <c r="D959" s="12"/>
      <c r="E959" s="12"/>
    </row>
    <row r="960">
      <c r="D960" s="12"/>
      <c r="E960" s="12"/>
    </row>
    <row r="961">
      <c r="D961" s="12"/>
      <c r="E961" s="12"/>
    </row>
    <row r="962">
      <c r="D962" s="12"/>
      <c r="E962" s="12"/>
    </row>
    <row r="963">
      <c r="D963" s="12"/>
      <c r="E963" s="12"/>
    </row>
    <row r="964">
      <c r="D964" s="12"/>
      <c r="E964" s="12"/>
    </row>
    <row r="965">
      <c r="D965" s="12"/>
      <c r="E965" s="12"/>
    </row>
    <row r="966">
      <c r="D966" s="12"/>
      <c r="E966" s="12"/>
    </row>
    <row r="967">
      <c r="D967" s="12"/>
      <c r="E967" s="12"/>
    </row>
    <row r="968">
      <c r="D968" s="12"/>
      <c r="E968" s="12"/>
    </row>
    <row r="969">
      <c r="D969" s="12"/>
      <c r="E969" s="12"/>
    </row>
    <row r="970">
      <c r="D970" s="12"/>
      <c r="E970" s="12"/>
    </row>
    <row r="971">
      <c r="D971" s="12"/>
      <c r="E971" s="12"/>
    </row>
    <row r="972">
      <c r="D972" s="12"/>
      <c r="E972" s="12"/>
    </row>
    <row r="973">
      <c r="D973" s="12"/>
      <c r="E973" s="12"/>
    </row>
    <row r="974">
      <c r="D974" s="12"/>
      <c r="E974" s="12"/>
    </row>
    <row r="975">
      <c r="D975" s="12"/>
      <c r="E975" s="12"/>
    </row>
    <row r="976">
      <c r="D976" s="12"/>
      <c r="E976" s="12"/>
    </row>
    <row r="977">
      <c r="D977" s="12"/>
      <c r="E977" s="12"/>
    </row>
    <row r="978">
      <c r="D978" s="12"/>
      <c r="E978" s="12"/>
    </row>
    <row r="979">
      <c r="D979" s="12"/>
      <c r="E979" s="12"/>
    </row>
    <row r="980">
      <c r="D980" s="12"/>
      <c r="E980" s="12"/>
    </row>
    <row r="981">
      <c r="D981" s="12"/>
      <c r="E981" s="12"/>
    </row>
    <row r="982">
      <c r="D982" s="12"/>
      <c r="E982" s="12"/>
    </row>
    <row r="983">
      <c r="D983" s="12"/>
      <c r="E983" s="12"/>
    </row>
    <row r="984">
      <c r="D984" s="12"/>
      <c r="E984" s="12"/>
    </row>
    <row r="985">
      <c r="D985" s="12"/>
      <c r="E985" s="12"/>
    </row>
    <row r="986">
      <c r="D986" s="12"/>
      <c r="E986" s="12"/>
    </row>
    <row r="987">
      <c r="D987" s="12"/>
      <c r="E987" s="12"/>
    </row>
    <row r="988">
      <c r="D988" s="12"/>
      <c r="E988" s="12"/>
    </row>
    <row r="989">
      <c r="D989" s="12"/>
      <c r="E989" s="12"/>
    </row>
    <row r="990">
      <c r="D990" s="12"/>
      <c r="E990" s="12"/>
    </row>
    <row r="991">
      <c r="D991" s="12"/>
      <c r="E991" s="12"/>
    </row>
    <row r="992">
      <c r="D992" s="12"/>
      <c r="E992" s="12"/>
    </row>
    <row r="993">
      <c r="D993" s="12"/>
      <c r="E993" s="12"/>
    </row>
    <row r="994">
      <c r="D994" s="12"/>
      <c r="E994" s="12"/>
    </row>
    <row r="995">
      <c r="D995" s="12"/>
      <c r="E995" s="12"/>
    </row>
    <row r="996">
      <c r="D996" s="12"/>
      <c r="E996" s="12"/>
    </row>
    <row r="997">
      <c r="D997" s="12"/>
      <c r="E997" s="12"/>
    </row>
    <row r="998">
      <c r="D998" s="12"/>
      <c r="E998" s="12"/>
    </row>
    <row r="999">
      <c r="D999" s="12"/>
      <c r="E999" s="12"/>
    </row>
    <row r="1000">
      <c r="D1000" s="12"/>
      <c r="E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11" max="11" width="13.88"/>
  </cols>
  <sheetData>
    <row r="1">
      <c r="A1" s="7" t="s">
        <v>137</v>
      </c>
    </row>
    <row r="2">
      <c r="A2" s="13" t="s">
        <v>138</v>
      </c>
      <c r="B2" s="14" t="s">
        <v>4</v>
      </c>
      <c r="C2" s="15" t="s">
        <v>139</v>
      </c>
    </row>
    <row r="3">
      <c r="A3" s="16" t="str">
        <f>B7</f>
        <v>SFM02</v>
      </c>
      <c r="B3" s="17">
        <f>B8</f>
        <v>44357</v>
      </c>
      <c r="C3" s="18">
        <f>D43</f>
        <v>0.05607</v>
      </c>
    </row>
    <row r="4">
      <c r="A4" s="19" t="str">
        <f>H7</f>
        <v>SFM01</v>
      </c>
      <c r="B4" s="20">
        <f>H8</f>
        <v>44357</v>
      </c>
      <c r="C4" s="21">
        <f>J51</f>
        <v>0.06503</v>
      </c>
    </row>
    <row r="7">
      <c r="A7" s="22" t="s">
        <v>140</v>
      </c>
      <c r="B7" s="23" t="s">
        <v>127</v>
      </c>
      <c r="G7" s="24" t="s">
        <v>140</v>
      </c>
      <c r="H7" s="23" t="s">
        <v>125</v>
      </c>
    </row>
    <row r="8">
      <c r="A8" s="25" t="s">
        <v>141</v>
      </c>
      <c r="B8" s="26">
        <v>44357.0</v>
      </c>
      <c r="G8" s="27" t="s">
        <v>141</v>
      </c>
      <c r="H8" s="26">
        <v>44357.0</v>
      </c>
    </row>
    <row r="9">
      <c r="A9" s="25" t="s">
        <v>142</v>
      </c>
      <c r="B9" s="28" t="s">
        <v>143</v>
      </c>
      <c r="G9" s="27" t="s">
        <v>142</v>
      </c>
      <c r="H9" s="28" t="s">
        <v>143</v>
      </c>
    </row>
    <row r="10">
      <c r="A10" s="29" t="s">
        <v>144</v>
      </c>
      <c r="B10" s="30" t="s">
        <v>145</v>
      </c>
      <c r="G10" s="31" t="s">
        <v>144</v>
      </c>
      <c r="H10" s="30" t="s">
        <v>146</v>
      </c>
    </row>
    <row r="12">
      <c r="A12" s="32" t="s">
        <v>147</v>
      </c>
      <c r="B12" s="33" t="s">
        <v>148</v>
      </c>
      <c r="C12" s="33" t="s">
        <v>149</v>
      </c>
      <c r="D12" s="33" t="s">
        <v>139</v>
      </c>
      <c r="E12" s="34" t="s">
        <v>150</v>
      </c>
      <c r="G12" s="32" t="s">
        <v>147</v>
      </c>
      <c r="H12" s="33" t="s">
        <v>148</v>
      </c>
      <c r="I12" s="33" t="s">
        <v>149</v>
      </c>
      <c r="J12" s="33" t="s">
        <v>139</v>
      </c>
      <c r="K12" s="34" t="s">
        <v>150</v>
      </c>
    </row>
    <row r="13">
      <c r="A13" s="35">
        <v>3.5</v>
      </c>
      <c r="B13" s="36">
        <v>0.0</v>
      </c>
      <c r="C13" s="36" t="s">
        <v>77</v>
      </c>
      <c r="D13" s="36" t="s">
        <v>77</v>
      </c>
      <c r="E13" s="23" t="s">
        <v>151</v>
      </c>
      <c r="G13" s="35">
        <v>2.8</v>
      </c>
      <c r="H13" s="36">
        <v>0.0</v>
      </c>
      <c r="I13" s="36" t="s">
        <v>77</v>
      </c>
      <c r="J13" s="36" t="s">
        <v>77</v>
      </c>
      <c r="K13" s="23" t="s">
        <v>151</v>
      </c>
    </row>
    <row r="14">
      <c r="A14" s="37">
        <v>4.0</v>
      </c>
      <c r="B14" s="7">
        <v>0.05</v>
      </c>
      <c r="C14" s="7">
        <v>0.0</v>
      </c>
      <c r="D14" s="7">
        <f t="shared" ref="D14:D41" si="1">((A14-A13)/2+(A15-A13)/2)*B14*C14</f>
        <v>0</v>
      </c>
      <c r="E14" s="28" t="s">
        <v>152</v>
      </c>
      <c r="G14" s="37">
        <v>2.9</v>
      </c>
      <c r="H14" s="7">
        <v>0.0</v>
      </c>
      <c r="I14" s="7">
        <v>0.0</v>
      </c>
      <c r="J14" s="7">
        <f t="shared" ref="J14:J49" si="2">((G14-G13)/2+(G15-G13)/2)*H14*I14</f>
        <v>0</v>
      </c>
      <c r="K14" s="28" t="s">
        <v>153</v>
      </c>
    </row>
    <row r="15">
      <c r="A15" s="37">
        <v>4.1</v>
      </c>
      <c r="B15" s="7">
        <v>0.05</v>
      </c>
      <c r="C15" s="7">
        <v>0.0</v>
      </c>
      <c r="D15" s="7">
        <f t="shared" si="1"/>
        <v>0</v>
      </c>
      <c r="E15" s="28" t="s">
        <v>152</v>
      </c>
      <c r="G15" s="37">
        <v>3.0</v>
      </c>
      <c r="H15" s="7">
        <v>0.02</v>
      </c>
      <c r="I15" s="7">
        <v>0.0</v>
      </c>
      <c r="J15" s="7">
        <f t="shared" si="2"/>
        <v>0</v>
      </c>
      <c r="K15" s="28" t="s">
        <v>153</v>
      </c>
    </row>
    <row r="16">
      <c r="A16" s="37">
        <v>4.2</v>
      </c>
      <c r="B16" s="7">
        <v>0.05</v>
      </c>
      <c r="C16" s="7">
        <v>0.0</v>
      </c>
      <c r="D16" s="7">
        <f t="shared" si="1"/>
        <v>0</v>
      </c>
      <c r="E16" s="28" t="s">
        <v>152</v>
      </c>
      <c r="G16" s="37">
        <v>3.1</v>
      </c>
      <c r="H16" s="7">
        <v>0.0</v>
      </c>
      <c r="I16" s="7">
        <v>0.0</v>
      </c>
      <c r="J16" s="7">
        <f t="shared" si="2"/>
        <v>0</v>
      </c>
      <c r="K16" s="28" t="s">
        <v>153</v>
      </c>
    </row>
    <row r="17">
      <c r="A17" s="37">
        <v>4.3</v>
      </c>
      <c r="B17" s="7">
        <v>0.07</v>
      </c>
      <c r="C17" s="7">
        <v>0.0</v>
      </c>
      <c r="D17" s="7">
        <f t="shared" si="1"/>
        <v>0</v>
      </c>
      <c r="E17" s="28" t="s">
        <v>152</v>
      </c>
      <c r="G17" s="37">
        <v>3.2</v>
      </c>
      <c r="H17" s="7">
        <v>0.0</v>
      </c>
      <c r="I17" s="7">
        <v>0.0</v>
      </c>
      <c r="J17" s="7">
        <f t="shared" si="2"/>
        <v>0</v>
      </c>
      <c r="K17" s="28" t="s">
        <v>153</v>
      </c>
    </row>
    <row r="18">
      <c r="A18" s="37">
        <v>4.4</v>
      </c>
      <c r="B18" s="7">
        <v>0.15</v>
      </c>
      <c r="C18" s="7">
        <v>0.28</v>
      </c>
      <c r="D18" s="7">
        <f t="shared" si="1"/>
        <v>0.0063</v>
      </c>
      <c r="E18" s="18"/>
      <c r="G18" s="37">
        <v>3.3</v>
      </c>
      <c r="H18" s="7">
        <v>0.0</v>
      </c>
      <c r="I18" s="7">
        <v>0.0</v>
      </c>
      <c r="J18" s="7">
        <f t="shared" si="2"/>
        <v>0</v>
      </c>
      <c r="K18" s="28" t="s">
        <v>153</v>
      </c>
    </row>
    <row r="19">
      <c r="A19" s="37">
        <v>4.5</v>
      </c>
      <c r="B19" s="7">
        <v>0.15</v>
      </c>
      <c r="C19" s="7">
        <v>0.34</v>
      </c>
      <c r="D19" s="7">
        <f t="shared" si="1"/>
        <v>0.00765</v>
      </c>
      <c r="E19" s="18"/>
      <c r="G19" s="37">
        <v>3.4</v>
      </c>
      <c r="H19" s="7">
        <v>0.04</v>
      </c>
      <c r="I19" s="7">
        <v>0.04</v>
      </c>
      <c r="J19" s="7">
        <f t="shared" si="2"/>
        <v>0.00024</v>
      </c>
      <c r="K19" s="28"/>
    </row>
    <row r="20">
      <c r="A20" s="37">
        <v>4.6</v>
      </c>
      <c r="B20" s="7">
        <v>0.7</v>
      </c>
      <c r="C20" s="7">
        <v>0.0</v>
      </c>
      <c r="D20" s="7">
        <f t="shared" si="1"/>
        <v>0</v>
      </c>
      <c r="E20" s="18"/>
      <c r="G20" s="37">
        <v>3.5</v>
      </c>
      <c r="H20" s="7">
        <v>0.04</v>
      </c>
      <c r="I20" s="7">
        <v>0.43</v>
      </c>
      <c r="J20" s="7">
        <f t="shared" si="2"/>
        <v>0.00258</v>
      </c>
      <c r="K20" s="28"/>
    </row>
    <row r="21">
      <c r="A21" s="37">
        <v>4.7</v>
      </c>
      <c r="B21" s="7">
        <v>0.7</v>
      </c>
      <c r="C21" s="7">
        <v>0.0</v>
      </c>
      <c r="D21" s="7">
        <f t="shared" si="1"/>
        <v>0</v>
      </c>
      <c r="E21" s="18"/>
      <c r="G21" s="37">
        <v>3.6</v>
      </c>
      <c r="H21" s="7">
        <v>0.02</v>
      </c>
      <c r="I21" s="7">
        <v>0.0</v>
      </c>
      <c r="J21" s="7">
        <f t="shared" si="2"/>
        <v>0</v>
      </c>
      <c r="K21" s="28" t="s">
        <v>154</v>
      </c>
    </row>
    <row r="22">
      <c r="A22" s="37">
        <v>4.8</v>
      </c>
      <c r="B22" s="7">
        <v>0.1</v>
      </c>
      <c r="C22" s="7">
        <v>0.35</v>
      </c>
      <c r="D22" s="7">
        <f t="shared" si="1"/>
        <v>0.00525</v>
      </c>
      <c r="E22" s="18"/>
      <c r="G22" s="37">
        <v>3.7</v>
      </c>
      <c r="H22" s="7">
        <v>0.03</v>
      </c>
      <c r="I22" s="7">
        <v>0.48</v>
      </c>
      <c r="J22" s="7">
        <f t="shared" si="2"/>
        <v>0.00216</v>
      </c>
      <c r="K22" s="28"/>
    </row>
    <row r="23">
      <c r="A23" s="37">
        <v>4.9</v>
      </c>
      <c r="B23" s="7">
        <v>0.09</v>
      </c>
      <c r="C23" s="7">
        <v>0.36</v>
      </c>
      <c r="D23" s="7">
        <f t="shared" si="1"/>
        <v>0.00486</v>
      </c>
      <c r="E23" s="18"/>
      <c r="G23" s="37">
        <v>3.8</v>
      </c>
      <c r="H23" s="7">
        <v>0.04</v>
      </c>
      <c r="I23" s="7">
        <v>0.05</v>
      </c>
      <c r="J23" s="7">
        <f t="shared" si="2"/>
        <v>0.0003</v>
      </c>
      <c r="K23" s="28"/>
    </row>
    <row r="24">
      <c r="A24" s="37">
        <v>5.0</v>
      </c>
      <c r="B24" s="7">
        <v>0.1</v>
      </c>
      <c r="C24" s="7">
        <v>0.35</v>
      </c>
      <c r="D24" s="7">
        <f t="shared" si="1"/>
        <v>0.00525</v>
      </c>
      <c r="E24" s="18"/>
      <c r="G24" s="37">
        <v>3.9</v>
      </c>
      <c r="H24" s="7">
        <v>0.04</v>
      </c>
      <c r="I24" s="7">
        <v>0.04</v>
      </c>
      <c r="J24" s="7">
        <f t="shared" si="2"/>
        <v>0.00024</v>
      </c>
      <c r="K24" s="28"/>
    </row>
    <row r="25">
      <c r="A25" s="37">
        <v>5.1</v>
      </c>
      <c r="B25" s="7">
        <v>0.1</v>
      </c>
      <c r="C25" s="7">
        <v>0.03</v>
      </c>
      <c r="D25" s="7">
        <f t="shared" si="1"/>
        <v>0.00045</v>
      </c>
      <c r="E25" s="28" t="s">
        <v>155</v>
      </c>
      <c r="G25" s="37">
        <v>4.0</v>
      </c>
      <c r="H25" s="7">
        <v>0.03</v>
      </c>
      <c r="I25" s="7">
        <v>0.01</v>
      </c>
      <c r="J25" s="7">
        <f t="shared" si="2"/>
        <v>0.000045</v>
      </c>
      <c r="K25" s="28"/>
    </row>
    <row r="26">
      <c r="A26" s="37">
        <v>5.2</v>
      </c>
      <c r="B26" s="7">
        <v>0.11</v>
      </c>
      <c r="C26" s="7">
        <v>0.02</v>
      </c>
      <c r="D26" s="7">
        <f t="shared" si="1"/>
        <v>0.00033</v>
      </c>
      <c r="E26" s="28" t="s">
        <v>155</v>
      </c>
      <c r="G26" s="37">
        <v>4.1</v>
      </c>
      <c r="H26" s="7">
        <v>0.03</v>
      </c>
      <c r="I26" s="7">
        <v>0.09</v>
      </c>
      <c r="J26" s="7">
        <f t="shared" si="2"/>
        <v>0.000405</v>
      </c>
      <c r="K26" s="28"/>
    </row>
    <row r="27">
      <c r="A27" s="37">
        <v>5.3</v>
      </c>
      <c r="B27" s="7">
        <v>0.12</v>
      </c>
      <c r="C27" s="7">
        <v>0.4</v>
      </c>
      <c r="D27" s="7">
        <f t="shared" si="1"/>
        <v>0.0072</v>
      </c>
      <c r="E27" s="18"/>
      <c r="G27" s="37">
        <v>4.2</v>
      </c>
      <c r="H27" s="7">
        <v>0.04</v>
      </c>
      <c r="I27" s="7">
        <v>0.08</v>
      </c>
      <c r="J27" s="7">
        <f t="shared" si="2"/>
        <v>0.00048</v>
      </c>
      <c r="K27" s="28"/>
    </row>
    <row r="28">
      <c r="A28" s="37">
        <v>5.4</v>
      </c>
      <c r="B28" s="7">
        <v>0.11</v>
      </c>
      <c r="C28" s="7">
        <v>0.19</v>
      </c>
      <c r="D28" s="7">
        <f t="shared" si="1"/>
        <v>0.003135</v>
      </c>
      <c r="E28" s="18"/>
      <c r="G28" s="37">
        <v>4.3</v>
      </c>
      <c r="H28" s="7">
        <v>0.04</v>
      </c>
      <c r="I28" s="7">
        <v>0.09</v>
      </c>
      <c r="J28" s="7">
        <f t="shared" si="2"/>
        <v>0.00054</v>
      </c>
      <c r="K28" s="28"/>
    </row>
    <row r="29">
      <c r="A29" s="37">
        <v>5.5</v>
      </c>
      <c r="B29" s="7">
        <v>0.1</v>
      </c>
      <c r="C29" s="7">
        <v>0.12</v>
      </c>
      <c r="D29" s="7">
        <f t="shared" si="1"/>
        <v>0.0018</v>
      </c>
      <c r="E29" s="18"/>
      <c r="G29" s="37">
        <v>4.4</v>
      </c>
      <c r="H29" s="7">
        <v>0.04</v>
      </c>
      <c r="I29" s="7">
        <v>0.08</v>
      </c>
      <c r="J29" s="7">
        <f t="shared" si="2"/>
        <v>0.00048</v>
      </c>
      <c r="K29" s="28"/>
    </row>
    <row r="30">
      <c r="A30" s="37">
        <v>5.6</v>
      </c>
      <c r="B30" s="7">
        <v>0.1</v>
      </c>
      <c r="C30" s="7">
        <v>0.17</v>
      </c>
      <c r="D30" s="7">
        <f t="shared" si="1"/>
        <v>0.00255</v>
      </c>
      <c r="E30" s="18"/>
      <c r="G30" s="37">
        <v>4.49999999999999</v>
      </c>
      <c r="H30" s="7">
        <v>0.06</v>
      </c>
      <c r="I30" s="7">
        <v>0.05</v>
      </c>
      <c r="J30" s="7">
        <f t="shared" si="2"/>
        <v>0.00045</v>
      </c>
      <c r="K30" s="28"/>
    </row>
    <row r="31">
      <c r="A31" s="37">
        <v>5.7</v>
      </c>
      <c r="B31" s="7">
        <v>0.1</v>
      </c>
      <c r="C31" s="7">
        <v>0.14</v>
      </c>
      <c r="D31" s="7">
        <f t="shared" si="1"/>
        <v>0.0021</v>
      </c>
      <c r="E31" s="18"/>
      <c r="G31" s="37">
        <v>4.59999999999999</v>
      </c>
      <c r="H31" s="7">
        <v>0.07</v>
      </c>
      <c r="I31" s="7">
        <v>0.16</v>
      </c>
      <c r="J31" s="7">
        <f t="shared" si="2"/>
        <v>0.00168</v>
      </c>
      <c r="K31" s="28"/>
    </row>
    <row r="32">
      <c r="A32" s="37">
        <v>5.8</v>
      </c>
      <c r="B32" s="7">
        <v>0.06</v>
      </c>
      <c r="C32" s="7">
        <v>0.32</v>
      </c>
      <c r="D32" s="7">
        <f t="shared" si="1"/>
        <v>0.00288</v>
      </c>
      <c r="E32" s="18"/>
      <c r="G32" s="37">
        <v>4.69999999999999</v>
      </c>
      <c r="H32" s="7">
        <v>0.07</v>
      </c>
      <c r="I32" s="7">
        <v>0.3</v>
      </c>
      <c r="J32" s="7">
        <f t="shared" si="2"/>
        <v>0.00315</v>
      </c>
      <c r="K32" s="28"/>
    </row>
    <row r="33">
      <c r="A33" s="37">
        <v>5.9</v>
      </c>
      <c r="B33" s="7">
        <v>0.06</v>
      </c>
      <c r="C33" s="7">
        <v>0.13</v>
      </c>
      <c r="D33" s="7">
        <f t="shared" si="1"/>
        <v>0.00117</v>
      </c>
      <c r="E33" s="18"/>
      <c r="G33" s="37">
        <v>4.79999999999999</v>
      </c>
      <c r="H33" s="7">
        <v>0.05</v>
      </c>
      <c r="I33" s="7">
        <v>0.42</v>
      </c>
      <c r="J33" s="7">
        <f t="shared" si="2"/>
        <v>0.00315</v>
      </c>
      <c r="K33" s="28"/>
    </row>
    <row r="34">
      <c r="A34" s="37">
        <v>5.99999999999999</v>
      </c>
      <c r="B34" s="7">
        <v>0.06</v>
      </c>
      <c r="C34" s="7">
        <v>0.06</v>
      </c>
      <c r="D34" s="7">
        <f t="shared" si="1"/>
        <v>0.00054</v>
      </c>
      <c r="E34" s="18"/>
      <c r="G34" s="37">
        <v>4.89999999999999</v>
      </c>
      <c r="H34" s="7">
        <v>0.06</v>
      </c>
      <c r="I34" s="7">
        <v>0.41</v>
      </c>
      <c r="J34" s="7">
        <f t="shared" si="2"/>
        <v>0.00369</v>
      </c>
      <c r="K34" s="28"/>
    </row>
    <row r="35">
      <c r="A35" s="37">
        <v>6.09999999999999</v>
      </c>
      <c r="B35" s="7">
        <v>0.08</v>
      </c>
      <c r="C35" s="7">
        <v>0.09</v>
      </c>
      <c r="D35" s="7">
        <f t="shared" si="1"/>
        <v>0.00108</v>
      </c>
      <c r="E35" s="18"/>
      <c r="G35" s="37">
        <v>4.99999999999999</v>
      </c>
      <c r="H35" s="7">
        <v>0.08</v>
      </c>
      <c r="I35" s="7">
        <v>0.57</v>
      </c>
      <c r="J35" s="7">
        <f t="shared" si="2"/>
        <v>0.00684</v>
      </c>
      <c r="K35" s="28"/>
    </row>
    <row r="36">
      <c r="A36" s="37">
        <v>6.19999999999999</v>
      </c>
      <c r="B36" s="7">
        <v>0.07</v>
      </c>
      <c r="C36" s="7">
        <v>0.09</v>
      </c>
      <c r="D36" s="7">
        <f t="shared" si="1"/>
        <v>0.000945</v>
      </c>
      <c r="E36" s="18"/>
      <c r="G36" s="37">
        <v>5.09999999999999</v>
      </c>
      <c r="H36" s="7">
        <v>0.07</v>
      </c>
      <c r="I36" s="7">
        <v>0.3</v>
      </c>
      <c r="J36" s="7">
        <f t="shared" si="2"/>
        <v>0.00315</v>
      </c>
      <c r="K36" s="28"/>
    </row>
    <row r="37">
      <c r="A37" s="37">
        <v>6.29999999999999</v>
      </c>
      <c r="B37" s="7">
        <v>0.05</v>
      </c>
      <c r="C37" s="7">
        <v>0.23</v>
      </c>
      <c r="D37" s="7">
        <f t="shared" si="1"/>
        <v>0.001725</v>
      </c>
      <c r="E37" s="18"/>
      <c r="G37" s="37">
        <v>5.19999999999999</v>
      </c>
      <c r="H37" s="7">
        <v>0.06</v>
      </c>
      <c r="I37" s="7">
        <v>0.21</v>
      </c>
      <c r="J37" s="7">
        <f t="shared" si="2"/>
        <v>0.00189</v>
      </c>
      <c r="K37" s="28"/>
    </row>
    <row r="38">
      <c r="A38" s="37">
        <v>6.39999999999999</v>
      </c>
      <c r="B38" s="7">
        <v>0.05</v>
      </c>
      <c r="C38" s="7">
        <v>0.01</v>
      </c>
      <c r="D38" s="7">
        <f t="shared" si="1"/>
        <v>0.000075</v>
      </c>
      <c r="E38" s="18"/>
      <c r="G38" s="37">
        <v>5.29999999999999</v>
      </c>
      <c r="H38" s="7">
        <v>0.08</v>
      </c>
      <c r="I38" s="7">
        <v>0.52</v>
      </c>
      <c r="J38" s="7">
        <f t="shared" si="2"/>
        <v>0.00624</v>
      </c>
      <c r="K38" s="28"/>
    </row>
    <row r="39">
      <c r="A39" s="37">
        <v>6.49999999999999</v>
      </c>
      <c r="B39" s="7">
        <v>0.06</v>
      </c>
      <c r="C39" s="7">
        <v>0.08</v>
      </c>
      <c r="D39" s="7">
        <f t="shared" si="1"/>
        <v>0.00072</v>
      </c>
      <c r="E39" s="18"/>
      <c r="G39" s="37">
        <v>5.39999999999999</v>
      </c>
      <c r="H39" s="7">
        <v>0.08</v>
      </c>
      <c r="I39" s="7">
        <v>0.08</v>
      </c>
      <c r="J39" s="7">
        <f t="shared" si="2"/>
        <v>0.00096</v>
      </c>
      <c r="K39" s="28"/>
    </row>
    <row r="40">
      <c r="A40" s="37">
        <v>6.59999999999999</v>
      </c>
      <c r="B40" s="7">
        <v>0.04</v>
      </c>
      <c r="C40" s="7">
        <v>0.01</v>
      </c>
      <c r="D40" s="7">
        <f t="shared" si="1"/>
        <v>0.00006</v>
      </c>
      <c r="E40" s="18"/>
      <c r="G40" s="37">
        <v>5.49999999999999</v>
      </c>
      <c r="H40" s="7">
        <v>0.09</v>
      </c>
      <c r="I40" s="7">
        <v>0.28</v>
      </c>
      <c r="J40" s="7">
        <f t="shared" si="2"/>
        <v>0.00378</v>
      </c>
      <c r="K40" s="28"/>
    </row>
    <row r="41">
      <c r="A41" s="37">
        <v>6.69999999999999</v>
      </c>
      <c r="B41" s="7">
        <v>0.02</v>
      </c>
      <c r="C41" s="7">
        <v>0.0</v>
      </c>
      <c r="D41" s="7">
        <f t="shared" si="1"/>
        <v>0</v>
      </c>
      <c r="E41" s="28" t="s">
        <v>152</v>
      </c>
      <c r="G41" s="37">
        <v>5.59999999999999</v>
      </c>
      <c r="H41" s="7">
        <v>0.1</v>
      </c>
      <c r="I41" s="7">
        <v>0.3</v>
      </c>
      <c r="J41" s="7">
        <f t="shared" si="2"/>
        <v>0.0045</v>
      </c>
      <c r="K41" s="28"/>
    </row>
    <row r="42">
      <c r="A42" s="38">
        <v>6.9</v>
      </c>
      <c r="B42" s="39">
        <v>0.0</v>
      </c>
      <c r="C42" s="39" t="s">
        <v>77</v>
      </c>
      <c r="D42" s="39" t="s">
        <v>77</v>
      </c>
      <c r="E42" s="30" t="s">
        <v>151</v>
      </c>
      <c r="G42" s="37">
        <v>5.69999999999999</v>
      </c>
      <c r="H42" s="7">
        <v>0.11</v>
      </c>
      <c r="I42" s="7">
        <v>0.18</v>
      </c>
      <c r="J42" s="7">
        <f t="shared" si="2"/>
        <v>0.00297</v>
      </c>
      <c r="K42" s="28"/>
    </row>
    <row r="43">
      <c r="D43" s="40">
        <f>sum(D14:D41)</f>
        <v>0.05607</v>
      </c>
      <c r="E43" s="41" t="s">
        <v>156</v>
      </c>
      <c r="G43" s="37">
        <v>5.79999999999999</v>
      </c>
      <c r="H43" s="7">
        <v>0.12</v>
      </c>
      <c r="I43" s="7">
        <v>0.16</v>
      </c>
      <c r="J43" s="7">
        <f t="shared" si="2"/>
        <v>0.00288</v>
      </c>
      <c r="K43" s="28"/>
    </row>
    <row r="44">
      <c r="G44" s="37">
        <v>5.89999999999999</v>
      </c>
      <c r="H44" s="7">
        <v>0.13</v>
      </c>
      <c r="I44" s="7">
        <v>0.2</v>
      </c>
      <c r="J44" s="7">
        <f t="shared" si="2"/>
        <v>0.0039</v>
      </c>
      <c r="K44" s="28"/>
    </row>
    <row r="45">
      <c r="G45" s="37">
        <v>5.99999999999999</v>
      </c>
      <c r="H45" s="7">
        <v>0.12</v>
      </c>
      <c r="I45" s="7">
        <v>0.02</v>
      </c>
      <c r="J45" s="7">
        <f t="shared" si="2"/>
        <v>0.00036</v>
      </c>
      <c r="K45" s="28" t="s">
        <v>157</v>
      </c>
    </row>
    <row r="46">
      <c r="G46" s="37">
        <v>6.09999999999999</v>
      </c>
      <c r="H46" s="7">
        <v>0.13</v>
      </c>
      <c r="I46" s="7">
        <v>0.04</v>
      </c>
      <c r="J46" s="7">
        <f t="shared" si="2"/>
        <v>0.00078</v>
      </c>
      <c r="K46" s="28"/>
    </row>
    <row r="47">
      <c r="G47" s="37">
        <v>6.19999999999999</v>
      </c>
      <c r="H47" s="7">
        <v>0.14</v>
      </c>
      <c r="I47" s="7">
        <v>0.08</v>
      </c>
      <c r="J47" s="7">
        <f t="shared" si="2"/>
        <v>0.00168</v>
      </c>
      <c r="K47" s="28"/>
    </row>
    <row r="48">
      <c r="G48" s="37">
        <v>6.29999999999999</v>
      </c>
      <c r="H48" s="7">
        <v>0.16</v>
      </c>
      <c r="I48" s="7">
        <v>0.09</v>
      </c>
      <c r="J48" s="7">
        <f t="shared" si="2"/>
        <v>0.00216</v>
      </c>
      <c r="K48" s="28"/>
    </row>
    <row r="49">
      <c r="G49" s="37">
        <v>6.39999999999999</v>
      </c>
      <c r="H49" s="7">
        <v>0.15</v>
      </c>
      <c r="I49" s="7">
        <v>0.1</v>
      </c>
      <c r="J49" s="7">
        <f t="shared" si="2"/>
        <v>0.00225</v>
      </c>
      <c r="K49" s="28"/>
    </row>
    <row r="50">
      <c r="G50" s="19">
        <v>6.49999999999999</v>
      </c>
      <c r="H50" s="42">
        <v>0.11</v>
      </c>
      <c r="I50" s="42">
        <v>0.2</v>
      </c>
      <c r="J50" s="42">
        <f>((G50-G49)/2)*H50*I50</f>
        <v>0.0011</v>
      </c>
      <c r="K50" s="21"/>
    </row>
    <row r="51">
      <c r="J51" s="40">
        <f>sum(J14:J50)</f>
        <v>0.06503</v>
      </c>
      <c r="K51" s="41" t="s">
        <v>156</v>
      </c>
    </row>
  </sheetData>
  <drawing r:id="rId1"/>
</worksheet>
</file>