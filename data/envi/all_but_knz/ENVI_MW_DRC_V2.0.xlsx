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hope\Downloads\"/>
    </mc:Choice>
  </mc:AlternateContent>
  <xr:revisionPtr revIDLastSave="0" documentId="8_{A9A6C74E-FA05-4289-B828-FDD7EAD90E2C}" xr6:coauthVersionLast="47" xr6:coauthVersionMax="47" xr10:uidLastSave="{00000000-0000-0000-0000-000000000000}"/>
  <bookViews>
    <workbookView xWindow="28680" yWindow="-120" windowWidth="38640" windowHeight="21120" activeTab="3" xr2:uid="{00000000-000D-0000-FFFF-FFFF00000000}"/>
  </bookViews>
  <sheets>
    <sheet name="Metadata" sheetId="1" r:id="rId1"/>
    <sheet name="Intermediate or working files" sheetId="2" r:id="rId2"/>
    <sheet name="Data Types" sheetId="3" r:id="rId3"/>
    <sheet name="Final Data" sheetId="4" r:id="rId4"/>
  </sheets>
  <definedNames>
    <definedName name="_LS454">#REF!</definedName>
    <definedName name="ABI_SOLID">#REF!</definedName>
    <definedName name="BGISEQ">#REF!</definedName>
    <definedName name="CAPILLARY">#REF!</definedName>
    <definedName name="COMPLETE_GENOMICS">#REF!</definedName>
    <definedName name="HELICOS">#REF!</definedName>
    <definedName name="ILLUMINA">#REF!</definedName>
    <definedName name="ION_TORRENT">#REF!</definedName>
    <definedName name="OXFORD_NANOPORE">#REF!</definedName>
    <definedName name="PACBIO_SMR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4+GAMIwWbDl1lUOy2e0G3vvfmSWeGFa+Lnfntw6QFPw="/>
    </ext>
  </extLst>
</workbook>
</file>

<file path=xl/calcChain.xml><?xml version="1.0" encoding="utf-8"?>
<calcChain xmlns="http://schemas.openxmlformats.org/spreadsheetml/2006/main">
  <c r="O28" i="4" l="1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</calcChain>
</file>

<file path=xl/sharedStrings.xml><?xml version="1.0" encoding="utf-8"?>
<sst xmlns="http://schemas.openxmlformats.org/spreadsheetml/2006/main" count="408" uniqueCount="251">
  <si>
    <r>
      <rPr>
        <b/>
        <sz val="9"/>
        <color theme="1"/>
        <rFont val="Arial"/>
        <family val="2"/>
      </rPr>
      <t>INVESTIGATOR INFORMATION (add additional columns as needed) :</t>
    </r>
    <r>
      <rPr>
        <b/>
        <sz val="9"/>
        <color rgb="FF3366FF"/>
        <rFont val="Arial"/>
        <family val="2"/>
      </rPr>
      <t xml:space="preserve">  after name, please indicated the following: Owner [O], Contact [c], Principal Investigator [PI]</t>
    </r>
  </si>
  <si>
    <t>Investigator 1</t>
  </si>
  <si>
    <t>Investigator 2</t>
  </si>
  <si>
    <t>Investigator 3</t>
  </si>
  <si>
    <t>Investigator 4</t>
  </si>
  <si>
    <t xml:space="preserve">First Name  </t>
  </si>
  <si>
    <t>Maggi</t>
  </si>
  <si>
    <t xml:space="preserve">Michelle </t>
  </si>
  <si>
    <t>Sarah</t>
  </si>
  <si>
    <t xml:space="preserve">Last Name  </t>
  </si>
  <si>
    <t>Kraft</t>
  </si>
  <si>
    <t>Busch</t>
  </si>
  <si>
    <t>Godsey</t>
  </si>
  <si>
    <t>Address line 1</t>
  </si>
  <si>
    <t>921 South 8th Avenue - Stop 8072</t>
  </si>
  <si>
    <t>1930 Constant Ave</t>
  </si>
  <si>
    <t>Address line 2</t>
  </si>
  <si>
    <t>Kansas Geological Survey</t>
  </si>
  <si>
    <t>Address line 3</t>
  </si>
  <si>
    <t xml:space="preserve"> City  </t>
  </si>
  <si>
    <t>Pocatello</t>
  </si>
  <si>
    <t>Lawrence</t>
  </si>
  <si>
    <t xml:space="preserve">State  </t>
  </si>
  <si>
    <t>ID</t>
  </si>
  <si>
    <t>KS</t>
  </si>
  <si>
    <t xml:space="preserve">Zip Code  </t>
  </si>
  <si>
    <t>83209</t>
  </si>
  <si>
    <t>66047</t>
  </si>
  <si>
    <t>Country</t>
  </si>
  <si>
    <t>USA</t>
  </si>
  <si>
    <t>Affiliation</t>
  </si>
  <si>
    <t>Idaho State University</t>
  </si>
  <si>
    <t>University of Kansas</t>
  </si>
  <si>
    <t>contact info (if appropriate)</t>
  </si>
  <si>
    <t>godsey@isu.edu</t>
  </si>
  <si>
    <r>
      <rPr>
        <b/>
        <sz val="10"/>
        <color theme="1"/>
        <rFont val="Arial"/>
        <family val="2"/>
      </rPr>
      <t>FUNDING CYCLE/AGENCY (if other than EPSCoR AIMS):</t>
    </r>
    <r>
      <rPr>
        <sz val="10"/>
        <color theme="1"/>
        <rFont val="Arial"/>
        <family val="2"/>
      </rPr>
      <t xml:space="preserve"> </t>
    </r>
  </si>
  <si>
    <t xml:space="preserve">DATA FILE INFORMATION: </t>
  </si>
  <si>
    <t>Data File Name</t>
  </si>
  <si>
    <t>ENVD_MW_approach3_DRC_V1.0</t>
  </si>
  <si>
    <t>Beginning Date</t>
  </si>
  <si>
    <t>End Date</t>
  </si>
  <si>
    <t>Number of Data Records</t>
  </si>
  <si>
    <t>Other Files to Reference</t>
  </si>
  <si>
    <t>Availability Status</t>
  </si>
  <si>
    <t>Quality Control Information</t>
  </si>
  <si>
    <t>Maintenance Description</t>
  </si>
  <si>
    <t>Log of Changes:</t>
  </si>
  <si>
    <t xml:space="preserve">RESEARCH LOCATION: </t>
  </si>
  <si>
    <t>Sites</t>
  </si>
  <si>
    <t>AIMS study regions included in dataset</t>
  </si>
  <si>
    <t>Dry Creek</t>
  </si>
  <si>
    <t>Sample date(s)</t>
  </si>
  <si>
    <t>static variables</t>
  </si>
  <si>
    <t>ABSTRACT:</t>
  </si>
  <si>
    <t>Provide a brief description of dataset.</t>
  </si>
  <si>
    <t xml:space="preserve">METHODS: </t>
  </si>
  <si>
    <t>Please reference the published AIMS SOP here, and include any changes or additional methods as applicable.</t>
  </si>
  <si>
    <t>kilowatt</t>
  </si>
  <si>
    <t>kilowattPerMeterSquared</t>
  </si>
  <si>
    <t>liter</t>
  </si>
  <si>
    <t>litersPerHectare</t>
  </si>
  <si>
    <t>litersPerSecond</t>
  </si>
  <si>
    <t>litersPerSquareMeter</t>
  </si>
  <si>
    <t>lumen</t>
  </si>
  <si>
    <t>lux</t>
  </si>
  <si>
    <t>megagram</t>
  </si>
  <si>
    <t>megahertz</t>
  </si>
  <si>
    <t>megameter</t>
  </si>
  <si>
    <t>megapascal</t>
  </si>
  <si>
    <t>megasecond</t>
  </si>
  <si>
    <t>megavolt</t>
  </si>
  <si>
    <t>megawatt</t>
  </si>
  <si>
    <t>meter</t>
  </si>
  <si>
    <t>metersPerDay</t>
  </si>
  <si>
    <t>metersPerGram</t>
  </si>
  <si>
    <t>metersPerSecond</t>
  </si>
  <si>
    <t>metersPerSecondSquared</t>
  </si>
  <si>
    <t>metersSquaredPerDay</t>
  </si>
  <si>
    <t>metersSquaredPerSecond</t>
  </si>
  <si>
    <t>microCuriePerMicroMole</t>
  </si>
  <si>
    <t>microEinsteinsPerSquareMeter</t>
  </si>
  <si>
    <t>microEinsteinsPerSquareMeterPerSecond</t>
  </si>
  <si>
    <t>microequivalentsPerLiter</t>
  </si>
  <si>
    <t>microgram</t>
  </si>
  <si>
    <t>microgramsPerCubicCentimeter</t>
  </si>
  <si>
    <t>microgramsPerGram</t>
  </si>
  <si>
    <t>microgramsPerLiter</t>
  </si>
  <si>
    <t>microgramsPerMilliliter</t>
  </si>
  <si>
    <t>microliter</t>
  </si>
  <si>
    <t>micrometer</t>
  </si>
  <si>
    <t>microMolesCarbonPerMicroMolePhoton</t>
  </si>
  <si>
    <t>microMolesPerKilogram</t>
  </si>
  <si>
    <t>microMolesPerLiter</t>
  </si>
  <si>
    <t>microMolesPerSquareMeterPerMinute</t>
  </si>
  <si>
    <t>microMolesPerSquareMeterPerSecond</t>
  </si>
  <si>
    <t>micron</t>
  </si>
  <si>
    <t>microsecond</t>
  </si>
  <si>
    <t>microsiemensPerCentimeter</t>
  </si>
  <si>
    <t>millibar</t>
  </si>
  <si>
    <t>milligram</t>
  </si>
  <si>
    <t>milliGramPerKilogram</t>
  </si>
  <si>
    <t>milliGramPerSegment</t>
  </si>
  <si>
    <t>milligramsPerCubicMeter</t>
  </si>
  <si>
    <t>milligramsPerLiter</t>
  </si>
  <si>
    <t>milliGramsPerMilliLiter</t>
  </si>
  <si>
    <t>milligramsPerMillimeter</t>
  </si>
  <si>
    <t>milligramsPerSquareMeter</t>
  </si>
  <si>
    <t>milligramsPerSquareMeterPerDay</t>
  </si>
  <si>
    <t>millihertz</t>
  </si>
  <si>
    <t>milliliter</t>
  </si>
  <si>
    <t>milliliterPerLiter</t>
  </si>
  <si>
    <t>millimeter</t>
  </si>
  <si>
    <t>millimetersPerNumber</t>
  </si>
  <si>
    <t>millimetersPerSecond</t>
  </si>
  <si>
    <t>millimetersPerSegment</t>
  </si>
  <si>
    <t>millimolesPerGram</t>
  </si>
  <si>
    <t>millimolesPerMole</t>
  </si>
  <si>
    <t>millimolesPerSquareMeterPerHour</t>
  </si>
  <si>
    <t>millisecond</t>
  </si>
  <si>
    <t>millivolt</t>
  </si>
  <si>
    <t>milliwatt</t>
  </si>
  <si>
    <t>minute</t>
  </si>
  <si>
    <t>molality</t>
  </si>
  <si>
    <t>molarity</t>
  </si>
  <si>
    <t>mole</t>
  </si>
  <si>
    <t>molePerCubicMeter</t>
  </si>
  <si>
    <t>molesPerGram</t>
  </si>
  <si>
    <t>molesPerKilogram</t>
  </si>
  <si>
    <t>molesPerKilogramPerSecond</t>
  </si>
  <si>
    <t>molesPerMeterSqaurePerDay</t>
  </si>
  <si>
    <t>nanogram</t>
  </si>
  <si>
    <t>nanometer</t>
  </si>
  <si>
    <t>nanomolesPerGramPerSecond</t>
  </si>
  <si>
    <t>nanosecond</t>
  </si>
  <si>
    <t>newton</t>
  </si>
  <si>
    <t>nominalDay</t>
  </si>
  <si>
    <t>nominalYear</t>
  </si>
  <si>
    <t>number</t>
  </si>
  <si>
    <t>numberPerGram</t>
  </si>
  <si>
    <t>numberPerKilometerSquared</t>
  </si>
  <si>
    <t>numberPerMeterCubed</t>
  </si>
  <si>
    <t>numberPerMeterSquared</t>
  </si>
  <si>
    <t>numberPerMilliliter</t>
  </si>
  <si>
    <t>numberPerSquareCentimeterPerHour</t>
  </si>
  <si>
    <t>ohm</t>
  </si>
  <si>
    <t>ohmMeter</t>
  </si>
  <si>
    <t>partsPerMillion</t>
  </si>
  <si>
    <t>partsPerThousand</t>
  </si>
  <si>
    <t>pascal</t>
  </si>
  <si>
    <t>percent</t>
  </si>
  <si>
    <t>picoMolesPerLiter</t>
  </si>
  <si>
    <t>picoMolesPerLiterPerHour</t>
  </si>
  <si>
    <t>PSU</t>
  </si>
  <si>
    <t>radian</t>
  </si>
  <si>
    <t>second</t>
  </si>
  <si>
    <t>serialDateNumberYear0000</t>
  </si>
  <si>
    <t>siemen</t>
  </si>
  <si>
    <t>siemensPerMeter</t>
  </si>
  <si>
    <t>squareCentimeters</t>
  </si>
  <si>
    <t>squareCentimetersPer0.04SquareMeter</t>
  </si>
  <si>
    <t>squareCentimetersPerGram</t>
  </si>
  <si>
    <t>squareKilometers</t>
  </si>
  <si>
    <t>squareMeter</t>
  </si>
  <si>
    <t>squareMeterPerKilogram</t>
  </si>
  <si>
    <t>squareMeterPerNumber</t>
  </si>
  <si>
    <t>squareMeterPerSquareMeter</t>
  </si>
  <si>
    <t>squareMillimeters</t>
  </si>
  <si>
    <t>volt</t>
  </si>
  <si>
    <t>watt</t>
  </si>
  <si>
    <t>If applicable, please include all intermediate/working files that led to the final data tab</t>
  </si>
  <si>
    <t>Column Name</t>
  </si>
  <si>
    <t>Format</t>
  </si>
  <si>
    <t>Units</t>
  </si>
  <si>
    <t>Example</t>
  </si>
  <si>
    <t>Description</t>
  </si>
  <si>
    <t>project</t>
  </si>
  <si>
    <t>Text</t>
  </si>
  <si>
    <t>NA</t>
  </si>
  <si>
    <t>AIMS</t>
  </si>
  <si>
    <t>Only project is AIMS, for internal use only</t>
  </si>
  <si>
    <t>siteId</t>
  </si>
  <si>
    <t>GBJ31</t>
  </si>
  <si>
    <t>AIMS specific site code, all capitals</t>
  </si>
  <si>
    <t>rType</t>
  </si>
  <si>
    <t>ENVI</t>
  </si>
  <si>
    <t>4 character for data type, WASH = watershed characteristics</t>
  </si>
  <si>
    <t>appr1</t>
  </si>
  <si>
    <t>Binary</t>
  </si>
  <si>
    <t>Binary code depicting AIMS approach the sample belongs to; approach 1 = sensors and ~3 weekly maintenance // 1 = yes, 0 = no</t>
  </si>
  <si>
    <t>appr2</t>
  </si>
  <si>
    <t>Binary code depicting AIMS approach the sample belongs to; approach 2 = seasonal sampling // 1 = yes, 0 = no</t>
  </si>
  <si>
    <t>appr3</t>
  </si>
  <si>
    <t>Binary code depicting AIMS approach the sample belongs to; approach 3 = large synoptic samppling // 1 = yes, 0 = no</t>
  </si>
  <si>
    <t>appr4</t>
  </si>
  <si>
    <t>Binary code depicting AIMS approach the sample belongs to; approach 4 = experimental sampling // 1 = yes, 0 = no</t>
  </si>
  <si>
    <t>rep</t>
  </si>
  <si>
    <t>Integer</t>
  </si>
  <si>
    <t>Field replicate denoted by integers</t>
  </si>
  <si>
    <t>sublocation</t>
  </si>
  <si>
    <t>SW</t>
  </si>
  <si>
    <t>Nested location within `siteId`, all capitals</t>
  </si>
  <si>
    <t>lat</t>
  </si>
  <si>
    <t>Number</t>
  </si>
  <si>
    <t>decimal degrees</t>
  </si>
  <si>
    <t>Longitude</t>
  </si>
  <si>
    <t>long</t>
  </si>
  <si>
    <t>Latitude</t>
  </si>
  <si>
    <t>elevation</t>
  </si>
  <si>
    <t>meters</t>
  </si>
  <si>
    <t>Elevation in meters</t>
  </si>
  <si>
    <t>twi</t>
  </si>
  <si>
    <t>Topographic Wetness Index</t>
  </si>
  <si>
    <t>distance_from_outlet</t>
  </si>
  <si>
    <t>Distance from the current location to GSS01 in m</t>
  </si>
  <si>
    <t>drainage_area_m</t>
  </si>
  <si>
    <t>Drainage area in meters</t>
  </si>
  <si>
    <t>drainage_area_ha</t>
  </si>
  <si>
    <t>hectares</t>
  </si>
  <si>
    <t>Drainage area in hectares</t>
  </si>
  <si>
    <t>slope_point</t>
  </si>
  <si>
    <t>degrees</t>
  </si>
  <si>
    <t>Slope of the location as a degree</t>
  </si>
  <si>
    <t>distance_from_outlet_km</t>
  </si>
  <si>
    <t>DRC01</t>
  </si>
  <si>
    <t>WASH</t>
  </si>
  <si>
    <t>DRC10</t>
  </si>
  <si>
    <t>DRC11</t>
  </si>
  <si>
    <t>DRC12</t>
  </si>
  <si>
    <t>DRC13</t>
  </si>
  <si>
    <t>DRC14</t>
  </si>
  <si>
    <t>DRC15</t>
  </si>
  <si>
    <t>DRC16</t>
  </si>
  <si>
    <t>DRC17</t>
  </si>
  <si>
    <t>DRC18</t>
  </si>
  <si>
    <t>DRC19</t>
  </si>
  <si>
    <t>DRC02</t>
  </si>
  <si>
    <t>DRC20</t>
  </si>
  <si>
    <t>DRC03</t>
  </si>
  <si>
    <t>DRC04</t>
  </si>
  <si>
    <t>DRC05</t>
  </si>
  <si>
    <t>DRC06</t>
  </si>
  <si>
    <t>DRC07</t>
  </si>
  <si>
    <t>DRC08</t>
  </si>
  <si>
    <t>DRC09</t>
  </si>
  <si>
    <t>DSS01</t>
  </si>
  <si>
    <t>DPZ02</t>
  </si>
  <si>
    <t>DPZ03</t>
  </si>
  <si>
    <t>DPZ04</t>
  </si>
  <si>
    <t>DPZ05</t>
  </si>
  <si>
    <t>DPZ06</t>
  </si>
  <si>
    <t>DPZ07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</si>
</sst>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-mmm\-yyyy"/>
    <numFmt numFmtId="165" formatCode="yyyymmdd"/>
    <numFmt numFmtId="166" formatCode="0.00000"/>
    <numFmt numFmtId="167" formatCode="0.000"/>
    <numFmt numFmtId="168" formatCode="0.0"/>
    <numFmt numFmtId="169" formatCode="0.0000"/>
    <numFmt numFmtId="170" formatCode="mm/dd/yy"/>
  </numFmts>
  <fonts count="20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Tahoma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0"/>
      <color theme="1"/>
      <name val="Times New Roman"/>
      <family val="1"/>
    </font>
    <font>
      <sz val="10"/>
      <color rgb="FFFF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11"/>
      <color theme="1"/>
      <name val="Arial"/>
      <family val="2"/>
      <scheme val="minor"/>
    </font>
    <font>
      <sz val="8"/>
      <color theme="1"/>
      <name val="Calibri"/>
      <family val="2"/>
    </font>
    <font>
      <b/>
      <sz val="9"/>
      <color rgb="FF3366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horizontal="right" vertical="top"/>
    </xf>
    <xf numFmtId="49" fontId="5" fillId="5" borderId="1" xfId="0" applyNumberFormat="1" applyFont="1" applyFill="1" applyBorder="1" applyAlignment="1">
      <alignment wrapText="1"/>
    </xf>
    <xf numFmtId="49" fontId="5" fillId="5" borderId="1" xfId="0" applyNumberFormat="1" applyFont="1" applyFill="1" applyBorder="1"/>
    <xf numFmtId="0" fontId="6" fillId="2" borderId="1" xfId="0" applyFont="1" applyFill="1" applyBorder="1"/>
    <xf numFmtId="0" fontId="7" fillId="5" borderId="1" xfId="0" applyFont="1" applyFill="1" applyBorder="1" applyAlignment="1">
      <alignment horizontal="left" wrapText="1"/>
    </xf>
    <xf numFmtId="0" fontId="8" fillId="2" borderId="1" xfId="0" applyFont="1" applyFill="1" applyBorder="1" applyAlignment="1">
      <alignment vertical="top" wrapText="1"/>
    </xf>
    <xf numFmtId="0" fontId="7" fillId="0" borderId="0" xfId="0" applyFont="1" applyAlignment="1">
      <alignment horizontal="left" wrapText="1"/>
    </xf>
    <xf numFmtId="0" fontId="4" fillId="4" borderId="2" xfId="0" applyFont="1" applyFill="1" applyBorder="1" applyAlignment="1">
      <alignment horizontal="right" vertical="top" wrapText="1"/>
    </xf>
    <xf numFmtId="164" fontId="7" fillId="5" borderId="1" xfId="0" applyNumberFormat="1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right" vertical="top"/>
    </xf>
    <xf numFmtId="0" fontId="9" fillId="4" borderId="2" xfId="0" applyFont="1" applyFill="1" applyBorder="1" applyAlignment="1">
      <alignment horizontal="right" vertical="top"/>
    </xf>
    <xf numFmtId="0" fontId="8" fillId="2" borderId="3" xfId="0" applyFont="1" applyFill="1" applyBorder="1" applyAlignment="1">
      <alignment vertical="top" wrapText="1"/>
    </xf>
    <xf numFmtId="0" fontId="7" fillId="3" borderId="1" xfId="0" applyFont="1" applyFill="1" applyBorder="1" applyAlignment="1">
      <alignment horizontal="center" wrapText="1"/>
    </xf>
    <xf numFmtId="0" fontId="7" fillId="5" borderId="4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vertical="top"/>
    </xf>
    <xf numFmtId="0" fontId="9" fillId="4" borderId="2" xfId="0" applyFont="1" applyFill="1" applyBorder="1" applyAlignment="1">
      <alignment horizontal="right" vertical="top" wrapText="1"/>
    </xf>
    <xf numFmtId="0" fontId="7" fillId="0" borderId="0" xfId="0" applyFont="1"/>
    <xf numFmtId="0" fontId="10" fillId="0" borderId="0" xfId="0" applyFont="1"/>
    <xf numFmtId="0" fontId="7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/>
    <xf numFmtId="0" fontId="5" fillId="0" borderId="0" xfId="0" applyFont="1"/>
    <xf numFmtId="0" fontId="13" fillId="0" borderId="0" xfId="0" applyFont="1"/>
    <xf numFmtId="165" fontId="13" fillId="0" borderId="0" xfId="0" applyNumberFormat="1" applyFont="1"/>
    <xf numFmtId="1" fontId="13" fillId="0" borderId="0" xfId="0" applyNumberFormat="1" applyFont="1"/>
    <xf numFmtId="1" fontId="13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67" fontId="13" fillId="0" borderId="0" xfId="0" applyNumberFormat="1" applyFont="1"/>
    <xf numFmtId="2" fontId="13" fillId="0" borderId="0" xfId="0" applyNumberFormat="1" applyFont="1" applyAlignment="1">
      <alignment horizontal="right"/>
    </xf>
    <xf numFmtId="167" fontId="5" fillId="0" borderId="0" xfId="0" applyNumberFormat="1" applyFont="1"/>
    <xf numFmtId="168" fontId="5" fillId="0" borderId="0" xfId="0" applyNumberFormat="1" applyFont="1"/>
    <xf numFmtId="168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2" fontId="5" fillId="0" borderId="0" xfId="0" applyNumberFormat="1" applyFont="1"/>
    <xf numFmtId="0" fontId="14" fillId="0" borderId="0" xfId="0" applyFont="1"/>
    <xf numFmtId="1" fontId="14" fillId="0" borderId="0" xfId="0" applyNumberFormat="1" applyFont="1"/>
    <xf numFmtId="167" fontId="12" fillId="0" borderId="0" xfId="0" applyNumberFormat="1" applyFont="1"/>
    <xf numFmtId="168" fontId="12" fillId="0" borderId="0" xfId="0" applyNumberFormat="1" applyFont="1"/>
    <xf numFmtId="2" fontId="12" fillId="0" borderId="0" xfId="0" applyNumberFormat="1" applyFont="1"/>
    <xf numFmtId="0" fontId="15" fillId="0" borderId="0" xfId="0" applyFont="1"/>
    <xf numFmtId="0" fontId="16" fillId="0" borderId="0" xfId="0" applyFont="1"/>
    <xf numFmtId="1" fontId="15" fillId="0" borderId="0" xfId="0" applyNumberFormat="1" applyFont="1" applyAlignment="1">
      <alignment horizontal="right"/>
    </xf>
    <xf numFmtId="0" fontId="17" fillId="0" borderId="0" xfId="0" applyFont="1"/>
    <xf numFmtId="169" fontId="15" fillId="0" borderId="0" xfId="0" applyNumberFormat="1" applyFont="1" applyAlignment="1">
      <alignment horizontal="right"/>
    </xf>
    <xf numFmtId="167" fontId="15" fillId="0" borderId="0" xfId="0" applyNumberFormat="1" applyFont="1" applyAlignment="1">
      <alignment horizontal="right"/>
    </xf>
    <xf numFmtId="2" fontId="15" fillId="0" borderId="0" xfId="0" applyNumberFormat="1" applyFont="1" applyAlignment="1">
      <alignment horizontal="right"/>
    </xf>
    <xf numFmtId="168" fontId="15" fillId="0" borderId="0" xfId="0" applyNumberFormat="1" applyFont="1" applyAlignment="1">
      <alignment horizontal="right"/>
    </xf>
    <xf numFmtId="168" fontId="7" fillId="0" borderId="0" xfId="0" applyNumberFormat="1" applyFont="1"/>
    <xf numFmtId="168" fontId="7" fillId="0" borderId="0" xfId="0" applyNumberFormat="1" applyFont="1" applyAlignment="1">
      <alignment horizontal="right"/>
    </xf>
    <xf numFmtId="0" fontId="18" fillId="0" borderId="0" xfId="0" applyFont="1"/>
    <xf numFmtId="165" fontId="7" fillId="0" borderId="0" xfId="0" applyNumberFormat="1" applyFont="1" applyAlignment="1">
      <alignment horizontal="right"/>
    </xf>
    <xf numFmtId="167" fontId="7" fillId="0" borderId="0" xfId="0" applyNumberFormat="1" applyFont="1" applyAlignment="1">
      <alignment horizontal="right"/>
    </xf>
    <xf numFmtId="170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14" fontId="7" fillId="0" borderId="0" xfId="0" applyNumberFormat="1" applyFont="1" applyAlignment="1">
      <alignment horizontal="right"/>
    </xf>
    <xf numFmtId="167" fontId="7" fillId="0" borderId="0" xfId="0" applyNumberFormat="1" applyFont="1"/>
    <xf numFmtId="0" fontId="1" fillId="0" borderId="2" xfId="0" applyFont="1" applyBorder="1" applyAlignment="1">
      <alignment horizontal="right" wrapText="1"/>
    </xf>
    <xf numFmtId="0" fontId="13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32</xdr:row>
      <xdr:rowOff>0</xdr:rowOff>
    </xdr:from>
    <xdr:ext cx="1042987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40588" y="3246600"/>
          <a:ext cx="10410825" cy="10668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Con1W in Dry Creek Experimental Watershed (outlet location: 43.730136,  -116.134807), run by Boise State University and located near Boise, ID, is predominantly forested by Ponderosa Pine and Douglas fir, with woody shrubs, sagebrush, and grasses. With elevations from 1295-1907 m, Con1W in Dry Creek spans the rain-snow transition with rainfall occurring at lower elevations and snowfall at the upper elevations in the semi-arid southwestern region of Idaho. Con1W in Dry Creek has mean annual temperatures of 8.3°C and mean annual precipitation at 648.8 mm/yr. 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38</xdr:row>
      <xdr:rowOff>0</xdr:rowOff>
    </xdr:from>
    <xdr:ext cx="10429875" cy="45529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40600" y="3019825"/>
          <a:ext cx="10410900" cy="45402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Further information for all data fields can be found in the "Data Types" tab of this file. In short, this resource contains data for sites across a suite of sensor types, denoted by the sublocation field. These sublocations include:</a:t>
          </a:r>
          <a:endParaRPr sz="1400"/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   	- "SW" -- a site where regular surface water sampling occured, and contained a stilling well to record stream water level</a:t>
          </a:r>
          <a:endParaRPr sz="1400"/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1400"/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This resource was created using geospatial analyses using publicly available topographic data (Digital Elevation Models, DEMs from the USGS National Map Downloader v2.0; https://apps.nationalmap.gov/downloader/).</a:t>
          </a:r>
          <a:endParaRPr sz="1400"/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Site locations GPS coordinates were collected using a eMLID Reach RX multi-band RTK rover.</a:t>
          </a:r>
          <a:endParaRPr sz="1400"/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Elevation was extracted from a DEM. All additional environmental data were derived from this DEM using </a:t>
          </a:r>
          <a:r>
            <a:rPr lang="en-US" sz="1400" i="1"/>
            <a:t>whitebox </a:t>
          </a:r>
          <a:r>
            <a:rPr lang="en-US" sz="1400"/>
            <a:t>functions for topographic and stream network analysis (Wu &amp; Brown, 2022) in R version 4.4.0 (R Core Team, 2024).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Approach 1 site is DSS01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Approach 2 sites indicated by DPZ (Pressure Transducers)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Additional sites (STICS) indicated by DRC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86"/>
  <sheetViews>
    <sheetView workbookViewId="0"/>
  </sheetViews>
  <sheetFormatPr defaultColWidth="12.625" defaultRowHeight="15" customHeight="1"/>
  <cols>
    <col min="1" max="1" width="46.25" customWidth="1"/>
    <col min="2" max="2" width="17.125" customWidth="1"/>
    <col min="3" max="3" width="21" customWidth="1"/>
    <col min="4" max="4" width="11.875" customWidth="1"/>
    <col min="5" max="5" width="14.625" customWidth="1"/>
    <col min="6" max="26" width="7.625" customWidth="1"/>
  </cols>
  <sheetData>
    <row r="1" spans="1:5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4.25">
      <c r="A2" s="3" t="s">
        <v>5</v>
      </c>
      <c r="B2" s="4" t="s">
        <v>6</v>
      </c>
      <c r="C2" s="5" t="s">
        <v>7</v>
      </c>
      <c r="D2" s="5" t="s">
        <v>8</v>
      </c>
      <c r="E2" s="5"/>
    </row>
    <row r="3" spans="1:5" ht="14.25">
      <c r="A3" s="3" t="s">
        <v>9</v>
      </c>
      <c r="B3" s="4" t="s">
        <v>10</v>
      </c>
      <c r="C3" s="5" t="s">
        <v>11</v>
      </c>
      <c r="D3" s="5" t="s">
        <v>12</v>
      </c>
      <c r="E3" s="5"/>
    </row>
    <row r="4" spans="1:5" ht="42.75">
      <c r="A4" s="3" t="s">
        <v>13</v>
      </c>
      <c r="B4" s="4" t="s">
        <v>14</v>
      </c>
      <c r="C4" s="5" t="s">
        <v>15</v>
      </c>
      <c r="D4" s="4" t="s">
        <v>14</v>
      </c>
      <c r="E4" s="4"/>
    </row>
    <row r="5" spans="1:5" ht="14.25">
      <c r="A5" s="3" t="s">
        <v>16</v>
      </c>
      <c r="B5" s="5"/>
      <c r="C5" s="5" t="s">
        <v>17</v>
      </c>
      <c r="D5" s="5"/>
      <c r="E5" s="5"/>
    </row>
    <row r="6" spans="1:5" ht="14.25">
      <c r="A6" s="3" t="s">
        <v>18</v>
      </c>
      <c r="B6" s="5"/>
      <c r="C6" s="5"/>
      <c r="D6" s="5"/>
      <c r="E6" s="5"/>
    </row>
    <row r="7" spans="1:5" ht="14.25">
      <c r="A7" s="3" t="s">
        <v>19</v>
      </c>
      <c r="B7" s="4" t="s">
        <v>20</v>
      </c>
      <c r="C7" s="4" t="s">
        <v>21</v>
      </c>
      <c r="D7" s="4" t="s">
        <v>20</v>
      </c>
      <c r="E7" s="4"/>
    </row>
    <row r="8" spans="1:5" ht="14.25">
      <c r="A8" s="3" t="s">
        <v>22</v>
      </c>
      <c r="B8" s="4" t="s">
        <v>23</v>
      </c>
      <c r="C8" s="4" t="s">
        <v>24</v>
      </c>
      <c r="D8" s="4" t="s">
        <v>23</v>
      </c>
      <c r="E8" s="4"/>
    </row>
    <row r="9" spans="1:5" ht="14.25">
      <c r="A9" s="3" t="s">
        <v>25</v>
      </c>
      <c r="B9" s="4" t="s">
        <v>26</v>
      </c>
      <c r="C9" s="5" t="s">
        <v>27</v>
      </c>
      <c r="D9" s="4" t="s">
        <v>26</v>
      </c>
      <c r="E9" s="4"/>
    </row>
    <row r="10" spans="1:5" ht="14.25">
      <c r="A10" s="3" t="s">
        <v>28</v>
      </c>
      <c r="B10" s="4" t="s">
        <v>29</v>
      </c>
      <c r="C10" s="4" t="s">
        <v>29</v>
      </c>
      <c r="D10" s="4" t="s">
        <v>29</v>
      </c>
      <c r="E10" s="4"/>
    </row>
    <row r="11" spans="1:5" ht="28.5">
      <c r="A11" s="3" t="s">
        <v>30</v>
      </c>
      <c r="B11" s="4" t="s">
        <v>31</v>
      </c>
      <c r="C11" s="4" t="s">
        <v>32</v>
      </c>
      <c r="D11" s="4" t="s">
        <v>31</v>
      </c>
      <c r="E11" s="4"/>
    </row>
    <row r="12" spans="1:5" ht="14.25">
      <c r="A12" s="3" t="s">
        <v>33</v>
      </c>
      <c r="B12" s="5"/>
      <c r="C12" s="5"/>
      <c r="D12" s="5" t="s">
        <v>34</v>
      </c>
      <c r="E12" s="5"/>
    </row>
    <row r="14" spans="1:5">
      <c r="A14" s="6" t="s">
        <v>35</v>
      </c>
      <c r="B14" s="7"/>
    </row>
    <row r="16" spans="1:5">
      <c r="A16" s="8" t="s">
        <v>36</v>
      </c>
      <c r="B16" s="9"/>
    </row>
    <row r="17" spans="1:2" ht="30">
      <c r="A17" s="10" t="s">
        <v>37</v>
      </c>
      <c r="B17" s="7" t="s">
        <v>38</v>
      </c>
    </row>
    <row r="18" spans="1:2" ht="15.75" customHeight="1">
      <c r="A18" s="10" t="s">
        <v>39</v>
      </c>
      <c r="B18" s="11"/>
    </row>
    <row r="19" spans="1:2" ht="15.75" customHeight="1">
      <c r="A19" s="10" t="s">
        <v>40</v>
      </c>
      <c r="B19" s="11"/>
    </row>
    <row r="20" spans="1:2" ht="15.75" customHeight="1">
      <c r="A20" s="12" t="s">
        <v>41</v>
      </c>
      <c r="B20" s="7"/>
    </row>
    <row r="21" spans="1:2" ht="15.75" customHeight="1">
      <c r="A21" s="12" t="s">
        <v>42</v>
      </c>
      <c r="B21" s="7"/>
    </row>
    <row r="22" spans="1:2" ht="15.75" customHeight="1">
      <c r="A22" s="12" t="s">
        <v>43</v>
      </c>
      <c r="B22" s="7"/>
    </row>
    <row r="23" spans="1:2" ht="15.75" customHeight="1">
      <c r="A23" s="12" t="s">
        <v>44</v>
      </c>
      <c r="B23" s="7"/>
    </row>
    <row r="24" spans="1:2" ht="15.75" customHeight="1">
      <c r="A24" s="12" t="s">
        <v>45</v>
      </c>
      <c r="B24" s="7"/>
    </row>
    <row r="25" spans="1:2" ht="15.75" customHeight="1">
      <c r="A25" s="12" t="s">
        <v>46</v>
      </c>
      <c r="B25" s="7"/>
    </row>
    <row r="26" spans="1:2" ht="15.75" customHeight="1">
      <c r="A26" s="13"/>
      <c r="B26" s="7"/>
    </row>
    <row r="27" spans="1:2" ht="15.75" customHeight="1">
      <c r="A27" s="13"/>
      <c r="B27" s="7"/>
    </row>
    <row r="28" spans="1:2" ht="15.75" customHeight="1"/>
    <row r="29" spans="1:2" ht="15.75" customHeight="1">
      <c r="A29" s="14" t="s">
        <v>47</v>
      </c>
      <c r="B29" s="15" t="s">
        <v>48</v>
      </c>
    </row>
    <row r="30" spans="1:2" ht="39.75" customHeight="1">
      <c r="A30" s="10" t="s">
        <v>49</v>
      </c>
      <c r="B30" s="16" t="s">
        <v>50</v>
      </c>
    </row>
    <row r="31" spans="1:2" ht="15.75" customHeight="1">
      <c r="A31" s="12" t="s">
        <v>51</v>
      </c>
      <c r="B31" s="7" t="s">
        <v>52</v>
      </c>
    </row>
    <row r="32" spans="1:2" ht="15.75" customHeight="1"/>
    <row r="33" spans="1:1" ht="15.75" customHeight="1">
      <c r="A33" s="17" t="s">
        <v>53</v>
      </c>
    </row>
    <row r="34" spans="1:1" ht="15.75" customHeight="1">
      <c r="A34" s="13" t="s">
        <v>54</v>
      </c>
    </row>
    <row r="35" spans="1:1" ht="15.75" customHeight="1"/>
    <row r="36" spans="1:1" ht="15.75" customHeight="1"/>
    <row r="37" spans="1:1" ht="15.75" customHeight="1"/>
    <row r="38" spans="1:1" ht="15.75" customHeight="1"/>
    <row r="39" spans="1:1" ht="15.75" customHeight="1">
      <c r="A39" s="8" t="s">
        <v>55</v>
      </c>
    </row>
    <row r="40" spans="1:1" ht="40.5" customHeight="1">
      <c r="A40" s="18" t="s">
        <v>56</v>
      </c>
    </row>
    <row r="41" spans="1:1" ht="15.75" customHeight="1"/>
    <row r="42" spans="1:1" ht="15.75" customHeight="1"/>
    <row r="43" spans="1:1" ht="15.75" customHeight="1"/>
    <row r="44" spans="1:1" ht="15.75" customHeight="1"/>
    <row r="45" spans="1:1" ht="15.75" customHeight="1"/>
    <row r="46" spans="1:1" ht="15.75" customHeight="1"/>
    <row r="47" spans="1:1" ht="15.75" customHeight="1"/>
    <row r="48" spans="1: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spans="17:19" ht="15.75" customHeight="1">
      <c r="Q81" s="19"/>
      <c r="R81" s="20"/>
    </row>
    <row r="82" spans="17:19" ht="15.75" customHeight="1">
      <c r="Q82" s="19"/>
      <c r="R82" s="19"/>
      <c r="S82" s="19"/>
    </row>
    <row r="83" spans="17:19" ht="15.75" customHeight="1">
      <c r="Q83" s="19"/>
      <c r="R83" s="19"/>
      <c r="S83" s="19"/>
    </row>
    <row r="84" spans="17:19" ht="15.75" customHeight="1">
      <c r="Q84" s="19"/>
      <c r="R84" s="19"/>
      <c r="S84" s="19"/>
    </row>
    <row r="85" spans="17:19" ht="15.75" customHeight="1">
      <c r="Q85" s="19"/>
      <c r="R85" s="19"/>
      <c r="S85" s="19"/>
    </row>
    <row r="86" spans="17:19" ht="15.75" customHeight="1">
      <c r="Q86" s="19"/>
      <c r="S86" s="19"/>
    </row>
    <row r="87" spans="17:19" ht="15.75" customHeight="1">
      <c r="S87" s="19"/>
    </row>
    <row r="88" spans="17:19" ht="15.75" customHeight="1"/>
    <row r="89" spans="17:19" ht="15.75" customHeight="1"/>
    <row r="90" spans="17:19" ht="15.75" customHeight="1"/>
    <row r="91" spans="17:19" ht="15.75" customHeight="1"/>
    <row r="92" spans="17:19" ht="15.75" customHeight="1"/>
    <row r="93" spans="17:19" ht="15.75" customHeight="1"/>
    <row r="94" spans="17:19" ht="15.75" customHeight="1"/>
    <row r="95" spans="17:19" ht="15.75" customHeight="1"/>
    <row r="96" spans="17:19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spans="19:19" ht="15.75" customHeight="1"/>
    <row r="130" spans="19:19" ht="15.75" customHeight="1"/>
    <row r="131" spans="19:19" ht="15.75" customHeight="1"/>
    <row r="132" spans="19:19" ht="15.75" customHeight="1"/>
    <row r="133" spans="19:19" ht="15.75" customHeight="1"/>
    <row r="134" spans="19:19" ht="15.75" customHeight="1"/>
    <row r="135" spans="19:19" ht="15.75" customHeight="1"/>
    <row r="136" spans="19:19" ht="15.75" customHeight="1"/>
    <row r="137" spans="19:19" ht="15.75" customHeight="1"/>
    <row r="138" spans="19:19" ht="15.75" customHeight="1">
      <c r="S138" s="19" t="s">
        <v>57</v>
      </c>
    </row>
    <row r="139" spans="19:19" ht="15.75" customHeight="1">
      <c r="S139" s="19" t="s">
        <v>58</v>
      </c>
    </row>
    <row r="140" spans="19:19" ht="15.75" customHeight="1">
      <c r="S140" s="19" t="s">
        <v>59</v>
      </c>
    </row>
    <row r="141" spans="19:19" ht="15.75" customHeight="1">
      <c r="S141" s="19" t="s">
        <v>60</v>
      </c>
    </row>
    <row r="142" spans="19:19" ht="15.75" customHeight="1">
      <c r="S142" s="19" t="s">
        <v>61</v>
      </c>
    </row>
    <row r="143" spans="19:19" ht="15.75" customHeight="1">
      <c r="S143" s="19" t="s">
        <v>62</v>
      </c>
    </row>
    <row r="144" spans="19:19" ht="15.75" customHeight="1">
      <c r="S144" s="19" t="s">
        <v>63</v>
      </c>
    </row>
    <row r="145" spans="17:19" ht="15.75" customHeight="1">
      <c r="S145" s="19" t="s">
        <v>64</v>
      </c>
    </row>
    <row r="146" spans="17:19" ht="15.75" customHeight="1">
      <c r="S146" s="19" t="s">
        <v>65</v>
      </c>
    </row>
    <row r="147" spans="17:19" ht="15.75" customHeight="1">
      <c r="S147" s="19" t="s">
        <v>66</v>
      </c>
    </row>
    <row r="148" spans="17:19" ht="15.75" customHeight="1">
      <c r="S148" s="19" t="s">
        <v>67</v>
      </c>
    </row>
    <row r="149" spans="17:19" ht="15.75" customHeight="1">
      <c r="S149" s="19" t="s">
        <v>68</v>
      </c>
    </row>
    <row r="150" spans="17:19" ht="15.75" customHeight="1">
      <c r="Q150" s="21"/>
      <c r="R150" s="21"/>
      <c r="S150" s="19" t="s">
        <v>69</v>
      </c>
    </row>
    <row r="151" spans="17:19" ht="15.75" customHeight="1">
      <c r="S151" s="19" t="s">
        <v>70</v>
      </c>
    </row>
    <row r="152" spans="17:19" ht="15.75" customHeight="1">
      <c r="S152" s="19" t="s">
        <v>71</v>
      </c>
    </row>
    <row r="153" spans="17:19" ht="15.75" customHeight="1">
      <c r="S153" s="19" t="s">
        <v>72</v>
      </c>
    </row>
    <row r="154" spans="17:19" ht="15.75" customHeight="1">
      <c r="S154" s="19" t="s">
        <v>73</v>
      </c>
    </row>
    <row r="155" spans="17:19" ht="15.75" customHeight="1">
      <c r="S155" s="19" t="s">
        <v>74</v>
      </c>
    </row>
    <row r="156" spans="17:19" ht="15.75" customHeight="1">
      <c r="S156" s="19" t="s">
        <v>75</v>
      </c>
    </row>
    <row r="157" spans="17:19" ht="15.75" customHeight="1">
      <c r="S157" s="19" t="s">
        <v>76</v>
      </c>
    </row>
    <row r="158" spans="17:19" ht="15.75" customHeight="1">
      <c r="S158" s="19" t="s">
        <v>77</v>
      </c>
    </row>
    <row r="159" spans="17:19" ht="15.75" customHeight="1">
      <c r="S159" s="19" t="s">
        <v>78</v>
      </c>
    </row>
    <row r="160" spans="17:19" ht="15.75" customHeight="1">
      <c r="S160" s="19" t="s">
        <v>79</v>
      </c>
    </row>
    <row r="161" spans="19:19" ht="15.75" customHeight="1">
      <c r="S161" s="19" t="s">
        <v>80</v>
      </c>
    </row>
    <row r="162" spans="19:19" ht="15.75" customHeight="1">
      <c r="S162" s="19" t="s">
        <v>81</v>
      </c>
    </row>
    <row r="163" spans="19:19" ht="15.75" customHeight="1">
      <c r="S163" s="19" t="s">
        <v>82</v>
      </c>
    </row>
    <row r="164" spans="19:19" ht="15.75" customHeight="1">
      <c r="S164" s="19" t="s">
        <v>83</v>
      </c>
    </row>
    <row r="165" spans="19:19" ht="15.75" customHeight="1">
      <c r="S165" s="19" t="s">
        <v>84</v>
      </c>
    </row>
    <row r="166" spans="19:19" ht="15.75" customHeight="1">
      <c r="S166" s="19" t="s">
        <v>85</v>
      </c>
    </row>
    <row r="167" spans="19:19" ht="15.75" customHeight="1">
      <c r="S167" s="19" t="s">
        <v>86</v>
      </c>
    </row>
    <row r="168" spans="19:19" ht="15.75" customHeight="1">
      <c r="S168" s="19" t="s">
        <v>87</v>
      </c>
    </row>
    <row r="169" spans="19:19" ht="15.75" customHeight="1">
      <c r="S169" s="19" t="s">
        <v>88</v>
      </c>
    </row>
    <row r="170" spans="19:19" ht="15.75" customHeight="1">
      <c r="S170" s="19" t="s">
        <v>89</v>
      </c>
    </row>
    <row r="171" spans="19:19" ht="15.75" customHeight="1">
      <c r="S171" s="19" t="s">
        <v>90</v>
      </c>
    </row>
    <row r="172" spans="19:19" ht="15.75" customHeight="1">
      <c r="S172" s="19" t="s">
        <v>91</v>
      </c>
    </row>
    <row r="173" spans="19:19" ht="15.75" customHeight="1">
      <c r="S173" s="19" t="s">
        <v>92</v>
      </c>
    </row>
    <row r="174" spans="19:19" ht="15.75" customHeight="1">
      <c r="S174" s="19" t="s">
        <v>93</v>
      </c>
    </row>
    <row r="175" spans="19:19" ht="15.75" customHeight="1">
      <c r="S175" s="19" t="s">
        <v>94</v>
      </c>
    </row>
    <row r="176" spans="19:19" ht="15.75" customHeight="1">
      <c r="S176" s="19" t="s">
        <v>95</v>
      </c>
    </row>
    <row r="177" spans="19:19" ht="15.75" customHeight="1">
      <c r="S177" s="19" t="s">
        <v>96</v>
      </c>
    </row>
    <row r="178" spans="19:19" ht="15.75" customHeight="1">
      <c r="S178" s="19" t="s">
        <v>97</v>
      </c>
    </row>
    <row r="179" spans="19:19" ht="15.75" customHeight="1">
      <c r="S179" s="19" t="s">
        <v>98</v>
      </c>
    </row>
    <row r="180" spans="19:19" ht="15.75" customHeight="1">
      <c r="S180" s="19" t="s">
        <v>99</v>
      </c>
    </row>
    <row r="181" spans="19:19" ht="15.75" customHeight="1">
      <c r="S181" s="19" t="s">
        <v>100</v>
      </c>
    </row>
    <row r="182" spans="19:19" ht="15.75" customHeight="1">
      <c r="S182" s="19" t="s">
        <v>101</v>
      </c>
    </row>
    <row r="183" spans="19:19" ht="15.75" customHeight="1">
      <c r="S183" s="19" t="s">
        <v>102</v>
      </c>
    </row>
    <row r="184" spans="19:19" ht="15.75" customHeight="1">
      <c r="S184" s="19" t="s">
        <v>103</v>
      </c>
    </row>
    <row r="185" spans="19:19" ht="15.75" customHeight="1">
      <c r="S185" s="19" t="s">
        <v>104</v>
      </c>
    </row>
    <row r="186" spans="19:19" ht="15.75" customHeight="1">
      <c r="S186" s="19" t="s">
        <v>105</v>
      </c>
    </row>
    <row r="187" spans="19:19" ht="15.75" customHeight="1">
      <c r="S187" s="19" t="s">
        <v>106</v>
      </c>
    </row>
    <row r="188" spans="19:19" ht="15.75" customHeight="1">
      <c r="S188" s="19" t="s">
        <v>107</v>
      </c>
    </row>
    <row r="189" spans="19:19" ht="15.75" customHeight="1">
      <c r="S189" s="19" t="s">
        <v>108</v>
      </c>
    </row>
    <row r="190" spans="19:19" ht="15.75" customHeight="1">
      <c r="S190" s="19" t="s">
        <v>109</v>
      </c>
    </row>
    <row r="191" spans="19:19" ht="15.75" customHeight="1">
      <c r="S191" s="19" t="s">
        <v>110</v>
      </c>
    </row>
    <row r="192" spans="19:19" ht="15.75" customHeight="1">
      <c r="S192" s="19" t="s">
        <v>111</v>
      </c>
    </row>
    <row r="193" spans="19:19" ht="15.75" customHeight="1">
      <c r="S193" s="19" t="s">
        <v>112</v>
      </c>
    </row>
    <row r="194" spans="19:19" ht="15.75" customHeight="1">
      <c r="S194" s="19" t="s">
        <v>113</v>
      </c>
    </row>
    <row r="195" spans="19:19" ht="15.75" customHeight="1">
      <c r="S195" s="19" t="s">
        <v>114</v>
      </c>
    </row>
    <row r="196" spans="19:19" ht="15.75" customHeight="1">
      <c r="S196" s="19" t="s">
        <v>115</v>
      </c>
    </row>
    <row r="197" spans="19:19" ht="15.75" customHeight="1">
      <c r="S197" s="19" t="s">
        <v>116</v>
      </c>
    </row>
    <row r="198" spans="19:19" ht="15.75" customHeight="1">
      <c r="S198" s="19" t="s">
        <v>117</v>
      </c>
    </row>
    <row r="199" spans="19:19" ht="15.75" customHeight="1">
      <c r="S199" s="19" t="s">
        <v>118</v>
      </c>
    </row>
    <row r="200" spans="19:19" ht="15.75" customHeight="1">
      <c r="S200" s="19" t="s">
        <v>119</v>
      </c>
    </row>
    <row r="201" spans="19:19" ht="15.75" customHeight="1">
      <c r="S201" s="19" t="s">
        <v>120</v>
      </c>
    </row>
    <row r="202" spans="19:19" ht="15.75" customHeight="1">
      <c r="S202" s="19" t="s">
        <v>121</v>
      </c>
    </row>
    <row r="203" spans="19:19" ht="15.75" customHeight="1">
      <c r="S203" s="19" t="s">
        <v>122</v>
      </c>
    </row>
    <row r="204" spans="19:19" ht="15.75" customHeight="1">
      <c r="S204" s="19" t="s">
        <v>123</v>
      </c>
    </row>
    <row r="205" spans="19:19" ht="15.75" customHeight="1">
      <c r="S205" s="19" t="s">
        <v>124</v>
      </c>
    </row>
    <row r="206" spans="19:19" ht="15.75" customHeight="1">
      <c r="S206" s="19" t="s">
        <v>125</v>
      </c>
    </row>
    <row r="207" spans="19:19" ht="15.75" customHeight="1">
      <c r="S207" s="19" t="s">
        <v>126</v>
      </c>
    </row>
    <row r="208" spans="19:19" ht="15.75" customHeight="1">
      <c r="S208" s="19" t="s">
        <v>127</v>
      </c>
    </row>
    <row r="209" spans="19:19" ht="15.75" customHeight="1">
      <c r="S209" s="19" t="s">
        <v>128</v>
      </c>
    </row>
    <row r="210" spans="19:19" ht="15.75" customHeight="1">
      <c r="S210" s="19" t="s">
        <v>129</v>
      </c>
    </row>
    <row r="211" spans="19:19" ht="15.75" customHeight="1">
      <c r="S211" s="19" t="s">
        <v>130</v>
      </c>
    </row>
    <row r="212" spans="19:19" ht="15.75" customHeight="1">
      <c r="S212" s="19" t="s">
        <v>131</v>
      </c>
    </row>
    <row r="213" spans="19:19" ht="15.75" customHeight="1">
      <c r="S213" s="19" t="s">
        <v>132</v>
      </c>
    </row>
    <row r="214" spans="19:19" ht="15.75" customHeight="1">
      <c r="S214" s="19" t="s">
        <v>133</v>
      </c>
    </row>
    <row r="215" spans="19:19" ht="15.75" customHeight="1">
      <c r="S215" s="19" t="s">
        <v>134</v>
      </c>
    </row>
    <row r="216" spans="19:19" ht="15.75" customHeight="1">
      <c r="S216" s="19" t="s">
        <v>135</v>
      </c>
    </row>
    <row r="217" spans="19:19" ht="15.75" customHeight="1">
      <c r="S217" s="19" t="s">
        <v>136</v>
      </c>
    </row>
    <row r="218" spans="19:19" ht="15.75" customHeight="1">
      <c r="S218" s="19" t="s">
        <v>137</v>
      </c>
    </row>
    <row r="219" spans="19:19" ht="15.75" customHeight="1">
      <c r="S219" s="19" t="s">
        <v>138</v>
      </c>
    </row>
    <row r="220" spans="19:19" ht="15.75" customHeight="1">
      <c r="S220" s="19" t="s">
        <v>139</v>
      </c>
    </row>
    <row r="221" spans="19:19" ht="15.75" customHeight="1">
      <c r="S221" s="19" t="s">
        <v>140</v>
      </c>
    </row>
    <row r="222" spans="19:19" ht="15.75" customHeight="1">
      <c r="S222" s="19" t="s">
        <v>141</v>
      </c>
    </row>
    <row r="223" spans="19:19" ht="15.75" customHeight="1">
      <c r="S223" s="19" t="s">
        <v>142</v>
      </c>
    </row>
    <row r="224" spans="19:19" ht="15.75" customHeight="1">
      <c r="S224" s="19" t="s">
        <v>143</v>
      </c>
    </row>
    <row r="225" spans="19:19" ht="15.75" customHeight="1">
      <c r="S225" s="19" t="s">
        <v>144</v>
      </c>
    </row>
    <row r="226" spans="19:19" ht="15.75" customHeight="1">
      <c r="S226" s="19" t="s">
        <v>145</v>
      </c>
    </row>
    <row r="227" spans="19:19" ht="15.75" customHeight="1">
      <c r="S227" s="19" t="s">
        <v>146</v>
      </c>
    </row>
    <row r="228" spans="19:19" ht="15.75" customHeight="1">
      <c r="S228" s="19" t="s">
        <v>147</v>
      </c>
    </row>
    <row r="229" spans="19:19" ht="15.75" customHeight="1">
      <c r="S229" s="19" t="s">
        <v>148</v>
      </c>
    </row>
    <row r="230" spans="19:19" ht="15.75" customHeight="1">
      <c r="S230" s="19" t="s">
        <v>149</v>
      </c>
    </row>
    <row r="231" spans="19:19" ht="15.75" customHeight="1">
      <c r="S231" s="19" t="s">
        <v>150</v>
      </c>
    </row>
    <row r="232" spans="19:19" ht="15.75" customHeight="1">
      <c r="S232" s="19" t="s">
        <v>151</v>
      </c>
    </row>
    <row r="233" spans="19:19" ht="15.75" customHeight="1">
      <c r="S233" s="19" t="s">
        <v>152</v>
      </c>
    </row>
    <row r="234" spans="19:19" ht="15.75" customHeight="1">
      <c r="S234" s="19" t="s">
        <v>153</v>
      </c>
    </row>
    <row r="235" spans="19:19" ht="15.75" customHeight="1">
      <c r="S235" s="19" t="s">
        <v>154</v>
      </c>
    </row>
    <row r="236" spans="19:19" ht="15.75" customHeight="1">
      <c r="S236" s="19" t="s">
        <v>155</v>
      </c>
    </row>
    <row r="237" spans="19:19" ht="15.75" customHeight="1">
      <c r="S237" s="19" t="s">
        <v>156</v>
      </c>
    </row>
    <row r="238" spans="19:19" ht="15.75" customHeight="1">
      <c r="S238" s="19" t="s">
        <v>157</v>
      </c>
    </row>
    <row r="239" spans="19:19" ht="15.75" customHeight="1">
      <c r="S239" s="19" t="s">
        <v>158</v>
      </c>
    </row>
    <row r="240" spans="19:19" ht="15.75" customHeight="1">
      <c r="S240" s="19" t="s">
        <v>159</v>
      </c>
    </row>
    <row r="241" spans="19:19" ht="15.75" customHeight="1">
      <c r="S241" s="19" t="s">
        <v>160</v>
      </c>
    </row>
    <row r="242" spans="19:19" ht="15.75" customHeight="1">
      <c r="S242" s="19" t="s">
        <v>161</v>
      </c>
    </row>
    <row r="243" spans="19:19" ht="15.75" customHeight="1">
      <c r="S243" s="19" t="s">
        <v>162</v>
      </c>
    </row>
    <row r="244" spans="19:19" ht="15.75" customHeight="1">
      <c r="S244" s="19" t="s">
        <v>163</v>
      </c>
    </row>
    <row r="245" spans="19:19" ht="15.75" customHeight="1">
      <c r="S245" s="19" t="s">
        <v>164</v>
      </c>
    </row>
    <row r="246" spans="19:19" ht="15.75" customHeight="1">
      <c r="S246" s="19" t="s">
        <v>165</v>
      </c>
    </row>
    <row r="247" spans="19:19" ht="15.75" customHeight="1">
      <c r="S247" s="19" t="s">
        <v>166</v>
      </c>
    </row>
    <row r="248" spans="19:19" ht="15.75" customHeight="1">
      <c r="S248" s="19" t="s">
        <v>167</v>
      </c>
    </row>
    <row r="249" spans="19:19" ht="15.75" customHeight="1">
      <c r="S249" s="19" t="s">
        <v>168</v>
      </c>
    </row>
    <row r="250" spans="19:19" ht="15.75" customHeight="1"/>
    <row r="251" spans="19:19" ht="15.75" customHeight="1"/>
    <row r="252" spans="19:19" ht="15.75" customHeight="1"/>
    <row r="253" spans="19:19" ht="15.75" customHeight="1"/>
    <row r="254" spans="19:19" ht="15.75" customHeight="1"/>
    <row r="255" spans="19:19" ht="15.75" customHeight="1"/>
    <row r="256" spans="19:1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25" defaultRowHeight="15" customHeight="1"/>
  <cols>
    <col min="1" max="26" width="8.625" customWidth="1"/>
  </cols>
  <sheetData>
    <row r="1" spans="1:1" ht="13.5" customHeight="1">
      <c r="A1" s="22" t="s">
        <v>169</v>
      </c>
    </row>
    <row r="2" spans="1:1" ht="13.5" customHeight="1"/>
    <row r="3" spans="1:1" ht="13.5" customHeight="1"/>
    <row r="4" spans="1:1" ht="13.5" customHeight="1"/>
    <row r="5" spans="1:1" ht="13.5" customHeight="1"/>
    <row r="6" spans="1:1" ht="13.5" customHeight="1"/>
    <row r="7" spans="1:1" ht="13.5" customHeight="1"/>
    <row r="8" spans="1:1" ht="13.5" customHeight="1"/>
    <row r="9" spans="1:1" ht="13.5" customHeight="1"/>
    <row r="10" spans="1:1" ht="13.5" customHeight="1"/>
    <row r="11" spans="1:1" ht="13.5" customHeight="1"/>
    <row r="12" spans="1:1" ht="13.5" customHeight="1"/>
    <row r="13" spans="1:1" ht="13.5" customHeight="1"/>
    <row r="14" spans="1:1" ht="13.5" customHeight="1"/>
    <row r="15" spans="1:1" ht="13.5" customHeight="1"/>
    <row r="16" spans="1: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2"/>
  <sheetViews>
    <sheetView workbookViewId="0"/>
  </sheetViews>
  <sheetFormatPr defaultColWidth="12.625" defaultRowHeight="15" customHeight="1"/>
  <cols>
    <col min="1" max="1" width="25.125" customWidth="1"/>
    <col min="2" max="4" width="14.25" customWidth="1"/>
    <col min="5" max="26" width="8.625" customWidth="1"/>
  </cols>
  <sheetData>
    <row r="1" spans="1:26" ht="13.5" customHeight="1">
      <c r="A1" s="23" t="s">
        <v>170</v>
      </c>
      <c r="B1" s="23" t="s">
        <v>171</v>
      </c>
      <c r="C1" s="23" t="s">
        <v>172</v>
      </c>
      <c r="D1" s="23" t="s">
        <v>173</v>
      </c>
      <c r="E1" s="23" t="s">
        <v>174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3.5" customHeight="1">
      <c r="A2" s="25" t="s">
        <v>175</v>
      </c>
      <c r="B2" s="24" t="s">
        <v>176</v>
      </c>
      <c r="C2" s="24" t="s">
        <v>177</v>
      </c>
      <c r="D2" s="25" t="s">
        <v>178</v>
      </c>
      <c r="E2" s="24" t="s">
        <v>179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3.5" customHeight="1">
      <c r="A3" s="26" t="s">
        <v>180</v>
      </c>
      <c r="B3" s="24" t="s">
        <v>176</v>
      </c>
      <c r="C3" s="24" t="s">
        <v>177</v>
      </c>
      <c r="D3" s="26" t="s">
        <v>181</v>
      </c>
      <c r="E3" s="24" t="s">
        <v>182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3.5" customHeight="1">
      <c r="A4" s="25" t="s">
        <v>183</v>
      </c>
      <c r="B4" s="24" t="s">
        <v>176</v>
      </c>
      <c r="C4" s="24" t="s">
        <v>177</v>
      </c>
      <c r="D4" s="25" t="s">
        <v>184</v>
      </c>
      <c r="E4" s="24" t="s">
        <v>185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3.5" customHeight="1">
      <c r="A5" s="27" t="s">
        <v>186</v>
      </c>
      <c r="B5" s="24" t="s">
        <v>187</v>
      </c>
      <c r="C5" s="24" t="s">
        <v>177</v>
      </c>
      <c r="D5" s="28">
        <v>1</v>
      </c>
      <c r="E5" s="24" t="s">
        <v>188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3.5" customHeight="1">
      <c r="A6" s="27" t="s">
        <v>189</v>
      </c>
      <c r="B6" s="24" t="s">
        <v>187</v>
      </c>
      <c r="C6" s="24" t="s">
        <v>177</v>
      </c>
      <c r="D6" s="28">
        <v>0</v>
      </c>
      <c r="E6" s="24" t="s">
        <v>190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3.5" customHeight="1">
      <c r="A7" s="27" t="s">
        <v>191</v>
      </c>
      <c r="B7" s="24" t="s">
        <v>187</v>
      </c>
      <c r="C7" s="24" t="s">
        <v>177</v>
      </c>
      <c r="D7" s="29">
        <v>0</v>
      </c>
      <c r="E7" s="24" t="s">
        <v>192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3.5" customHeight="1">
      <c r="A8" s="27" t="s">
        <v>193</v>
      </c>
      <c r="B8" s="24" t="s">
        <v>187</v>
      </c>
      <c r="C8" s="24" t="s">
        <v>177</v>
      </c>
      <c r="D8" s="28">
        <v>0</v>
      </c>
      <c r="E8" s="24" t="s">
        <v>194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3.5" customHeight="1">
      <c r="A9" s="24" t="s">
        <v>195</v>
      </c>
      <c r="B9" s="24" t="s">
        <v>196</v>
      </c>
      <c r="C9" s="24" t="s">
        <v>177</v>
      </c>
      <c r="D9" s="30" t="s">
        <v>177</v>
      </c>
      <c r="E9" s="24" t="s">
        <v>197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3.5" customHeight="1">
      <c r="A10" s="24" t="s">
        <v>198</v>
      </c>
      <c r="B10" s="24" t="s">
        <v>176</v>
      </c>
      <c r="C10" s="24" t="s">
        <v>177</v>
      </c>
      <c r="D10" s="30" t="s">
        <v>199</v>
      </c>
      <c r="E10" s="24" t="s">
        <v>200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3.5" customHeight="1">
      <c r="A11" s="31" t="s">
        <v>201</v>
      </c>
      <c r="B11" s="24" t="s">
        <v>202</v>
      </c>
      <c r="C11" s="24" t="s">
        <v>203</v>
      </c>
      <c r="D11" s="32">
        <v>42.79081</v>
      </c>
      <c r="E11" s="24" t="s">
        <v>204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3.5" customHeight="1">
      <c r="A12" s="25" t="s">
        <v>205</v>
      </c>
      <c r="B12" s="24" t="s">
        <v>202</v>
      </c>
      <c r="C12" s="24" t="s">
        <v>203</v>
      </c>
      <c r="D12" s="32">
        <v>-112.45399999999999</v>
      </c>
      <c r="E12" s="24" t="s">
        <v>206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3.5" customHeight="1">
      <c r="A13" s="33" t="s">
        <v>207</v>
      </c>
      <c r="B13" s="24" t="s">
        <v>202</v>
      </c>
      <c r="C13" s="24" t="s">
        <v>208</v>
      </c>
      <c r="D13" s="32">
        <v>1773.26</v>
      </c>
      <c r="E13" s="24" t="s">
        <v>209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3.5" customHeight="1">
      <c r="A14" s="25" t="s">
        <v>210</v>
      </c>
      <c r="B14" s="24" t="s">
        <v>202</v>
      </c>
      <c r="C14" s="24" t="s">
        <v>177</v>
      </c>
      <c r="D14" s="32">
        <v>15.817</v>
      </c>
      <c r="E14" s="24" t="s">
        <v>211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3.5" customHeight="1">
      <c r="A15" s="34" t="s">
        <v>212</v>
      </c>
      <c r="B15" s="24" t="s">
        <v>202</v>
      </c>
      <c r="C15" s="24" t="s">
        <v>208</v>
      </c>
      <c r="D15" s="35">
        <v>1344</v>
      </c>
      <c r="E15" s="24" t="s">
        <v>213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3.5" customHeight="1">
      <c r="A16" s="24" t="s">
        <v>214</v>
      </c>
      <c r="B16" s="24" t="s">
        <v>202</v>
      </c>
      <c r="C16" s="24" t="s">
        <v>208</v>
      </c>
      <c r="D16" s="36">
        <v>1396.98</v>
      </c>
      <c r="E16" s="24" t="s">
        <v>215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3.5" customHeight="1">
      <c r="A17" s="24" t="s">
        <v>216</v>
      </c>
      <c r="B17" s="24" t="s">
        <v>202</v>
      </c>
      <c r="C17" s="24" t="s">
        <v>217</v>
      </c>
      <c r="D17" s="36">
        <v>0.13969800000000002</v>
      </c>
      <c r="E17" s="24" t="s">
        <v>218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3.5" customHeight="1">
      <c r="A18" s="24" t="s">
        <v>219</v>
      </c>
      <c r="B18" s="24" t="s">
        <v>202</v>
      </c>
      <c r="C18" s="24" t="s">
        <v>220</v>
      </c>
      <c r="D18" s="36">
        <v>16.187080000000002</v>
      </c>
      <c r="E18" s="24" t="s">
        <v>221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3.5" customHeight="1">
      <c r="A19" s="24"/>
      <c r="B19" s="24"/>
      <c r="C19" s="24"/>
      <c r="D19" s="3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3.5" customHeight="1">
      <c r="A20" s="24"/>
      <c r="B20" s="24"/>
      <c r="C20" s="24"/>
      <c r="D20" s="3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3.5" customHeight="1">
      <c r="A21" s="24"/>
      <c r="B21" s="24"/>
      <c r="C21" s="24"/>
      <c r="D21" s="37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3.5" customHeight="1">
      <c r="A22" s="24"/>
      <c r="B22" s="24"/>
      <c r="C22" s="24"/>
      <c r="D22" s="3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3.5" customHeight="1">
      <c r="A23" s="24"/>
      <c r="B23" s="24"/>
      <c r="C23" s="24"/>
      <c r="D23" s="3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3.5" customHeight="1">
      <c r="A24" s="24"/>
      <c r="B24" s="24"/>
      <c r="C24" s="24"/>
      <c r="D24" s="3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3.5" customHeight="1">
      <c r="A25" s="24"/>
      <c r="B25" s="24"/>
      <c r="C25" s="24"/>
      <c r="D25" s="3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3.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3.5" customHeight="1">
      <c r="A27" s="24"/>
      <c r="B27" s="24"/>
      <c r="C27" s="24"/>
      <c r="D27" s="3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3.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3.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3.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3.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3.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3.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3.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3.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3.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3.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3.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3.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3.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3.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3.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3.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3.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3.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3.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3.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3.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3.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3.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3.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3.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3.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3.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3.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3.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3.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3.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3.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3.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3.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3.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3.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3.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3.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3.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3.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3.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3.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3.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3.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3.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3.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3.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3.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3.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3.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3.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3.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3.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3.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3.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3.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3.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3.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3.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3.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3.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3.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3.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3.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3.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3.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3.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3.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3.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3.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3.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3.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3.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3.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3.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3.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3.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3.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3.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3.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3.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3.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3.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3.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3.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3.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3.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3.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3.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3.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3.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3.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3.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3.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3.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3.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3.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3.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3.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3.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3.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3.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3.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3.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3.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3.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3.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3.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3.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3.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3.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3.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3.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3.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3.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3.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3.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3.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3.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3.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3.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3.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3.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3.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3.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3.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3.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3.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3.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3.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3.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3.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3.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3.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3.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3.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3.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3.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3.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3.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3.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3.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3.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3.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3.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3.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3.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3.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3.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3.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3.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3.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3.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3.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3.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3.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3.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3.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3.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3.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3.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3.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3.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3.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3.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3.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3.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3.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3.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3.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3.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3.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3.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3.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3.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3.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3.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3.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3.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3.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3.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3.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3.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3.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3.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3.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3.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3.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3.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3.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3.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3.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3.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3.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3.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3.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3.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3.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3.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3.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3.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3.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3.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3.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3.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3.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3.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3.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3.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3.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3.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3.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3.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3.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3.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3.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3.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3.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3.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3.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3.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3.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3.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3.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3.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3.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3.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3.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3.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3.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3.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3.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3.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3.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3.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3.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3.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3.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3.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3.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3.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3.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3.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3.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3.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3.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3.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3.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3.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3.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3.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3.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3.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3.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3.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3.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3.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3.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3.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3.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3.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3.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3.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3.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3.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3.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3.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3.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3.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3.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3.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3.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3.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3.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3.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3.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3.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3.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3.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3.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3.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3.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3.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3.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3.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3.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3.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3.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3.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3.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3.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3.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3.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3.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3.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3.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3.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3.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3.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3.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3.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3.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3.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3.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3.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3.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3.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3.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3.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3.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3.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3.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3.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3.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3.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3.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3.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3.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3.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3.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3.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3.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3.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3.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3.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3.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3.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3.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3.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3.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3.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3.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3.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3.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3.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3.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3.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3.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3.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3.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3.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3.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3.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3.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3.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3.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3.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3.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3.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3.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3.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3.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3.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3.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3.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3.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3.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3.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3.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3.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3.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3.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3.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3.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3.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3.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3.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3.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3.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3.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3.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3.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3.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3.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3.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3.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3.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3.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3.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3.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3.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3.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3.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3.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3.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3.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3.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3.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3.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3.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3.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3.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3.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3.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3.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3.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3.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3.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3.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3.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3.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3.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3.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3.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3.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3.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3.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3.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3.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3.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3.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3.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3.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3.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3.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3.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3.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3.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3.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3.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3.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3.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3.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3.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3.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3.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3.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3.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3.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3.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3.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3.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3.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3.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3.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3.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3.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3.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3.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3.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3.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3.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3.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3.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3.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3.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3.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3.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3.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3.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3.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3.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3.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3.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3.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3.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3.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3.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3.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3.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3.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3.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3.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3.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3.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3.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3.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3.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3.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3.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3.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3.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3.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3.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3.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3.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3.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3.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3.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3.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3.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3.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3.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3.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3.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3.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3.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3.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3.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3.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3.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3.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3.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3.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3.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3.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3.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3.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3.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3.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3.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3.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3.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3.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3.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3.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3.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3.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3.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3.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3.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3.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3.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3.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3.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3.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3.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3.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3.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3.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3.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3.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3.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3.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3.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3.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3.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3.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3.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3.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3.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3.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3.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3.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3.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3.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3.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3.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3.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3.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3.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3.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3.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3.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3.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3.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3.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3.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3.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3.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3.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3.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3.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3.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3.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3.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3.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3.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3.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3.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3.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3.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3.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3.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3.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3.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3.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3.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3.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3.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3.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3.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3.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3.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3.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3.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3.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3.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3.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3.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3.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3.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3.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3.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3.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3.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3.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3.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3.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3.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3.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13.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13.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13.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13.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13.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13.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13.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13.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13.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13.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13.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13.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13.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13.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13.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13.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13.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13.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13.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13.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13.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13.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13.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13.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13.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13.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13.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13.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13.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13.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13.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13.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13.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13.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13.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13.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13.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13.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13.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13.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13.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13.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13.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13.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13.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13.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13.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13.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13.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13.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13.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13.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13.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13.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13.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13.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13.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13.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13.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13.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13.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13.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13.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13.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13.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13.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13.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13.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13.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13.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13.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13.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13.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13.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13.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13.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13.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13.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13.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13.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13.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13.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13.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13.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13.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13.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13.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13.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13.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13.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13.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13.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13.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13.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13.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13.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13.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13.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13.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13.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13.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13.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13.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13.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13.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13.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13.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13.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13.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13.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13.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13.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13.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13.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13.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13.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13.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13.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13.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13.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13.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13.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13.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13.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13.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13.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13.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13.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13.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13.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13.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13.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13.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13.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13.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13.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13.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13.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13.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13.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13.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13.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13.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13.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13.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13.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13.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13.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13.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13.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13.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13.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13.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13.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13.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13.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13.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13.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13.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13.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13.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13.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13.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13.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13.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13.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13.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13.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13.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13.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13.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13.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13.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13.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13.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13.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13.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13.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13.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13.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13.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13.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13.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13.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13.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13.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13.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13.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13.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13.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13.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13.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13.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13.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13.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13.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13.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13.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13.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13.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13.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13.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13.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13.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13.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13.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13.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13.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13.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13.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13.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13.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13.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13.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13.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13.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13.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13.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13.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13.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13.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13.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13.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13.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13.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13.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13.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13.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13.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13.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13.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13.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13.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13.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13.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13.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13.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13.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13.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13.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13.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13.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13.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13.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13.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13.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13.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13.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13.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13.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13.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13.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13.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13.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13.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13.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13.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13.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13.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13.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13.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13.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13.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13.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13.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13.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13.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13.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13.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13.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13.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13.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13.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13.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13.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13.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13.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13.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13.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13.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13.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13.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13.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13.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13.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13.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13.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13.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13.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13.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13.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13.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13.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13.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13.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13.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13.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13.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13.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13.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13.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13.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13.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13.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13.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13.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13.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13.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13.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13.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13.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13.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13.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13.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13.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13.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13.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13.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13.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13.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13.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13.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13.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13.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13.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13.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13.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13.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13.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13.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13.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13.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13.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13.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13.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13.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13.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13.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13.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13.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13.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13.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13.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13.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13.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13.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13.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13.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13.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13.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13.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13.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13.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13.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13.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13.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13.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13.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13.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13.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13.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13.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13.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13.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13.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13.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13.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13.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13.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13.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13.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13.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13.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13.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ht="13.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ht="13.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ht="13.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ht="13.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ht="13.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ht="13.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ht="13.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spans="1:26" ht="13.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  <row r="1001" spans="1:26" ht="13.5" customHeight="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</row>
    <row r="1002" spans="1:26" ht="13.5" customHeight="1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989"/>
  <sheetViews>
    <sheetView tabSelected="1" workbookViewId="0">
      <selection activeCell="O9" sqref="O9"/>
    </sheetView>
  </sheetViews>
  <sheetFormatPr defaultColWidth="12.625" defaultRowHeight="15" customHeight="1"/>
  <cols>
    <col min="1" max="1" width="8.625" customWidth="1"/>
    <col min="2" max="2" width="9.375" customWidth="1"/>
    <col min="3" max="7" width="8.625" customWidth="1"/>
    <col min="8" max="8" width="7.625" customWidth="1"/>
    <col min="9" max="9" width="9.125" customWidth="1"/>
    <col min="10" max="10" width="10.875" customWidth="1"/>
    <col min="11" max="11" width="5.625" customWidth="1"/>
    <col min="12" max="12" width="21.5" customWidth="1"/>
    <col min="13" max="13" width="16.25" customWidth="1"/>
    <col min="14" max="14" width="13" customWidth="1"/>
    <col min="15" max="15" width="19.75" bestFit="1" customWidth="1"/>
    <col min="16" max="16" width="16.125" bestFit="1" customWidth="1"/>
    <col min="17" max="17" width="16.75" bestFit="1" customWidth="1"/>
    <col min="18" max="18" width="11.25" bestFit="1" customWidth="1"/>
    <col min="19" max="31" width="8.625" customWidth="1"/>
  </cols>
  <sheetData>
    <row r="1" spans="1:31" ht="13.5" customHeight="1">
      <c r="A1" s="38" t="s">
        <v>175</v>
      </c>
      <c r="B1" s="38" t="s">
        <v>180</v>
      </c>
      <c r="C1" s="38" t="s">
        <v>183</v>
      </c>
      <c r="D1" s="39" t="s">
        <v>186</v>
      </c>
      <c r="E1" s="39" t="s">
        <v>189</v>
      </c>
      <c r="F1" s="39" t="s">
        <v>191</v>
      </c>
      <c r="G1" s="39" t="s">
        <v>193</v>
      </c>
      <c r="H1" s="23" t="s">
        <v>195</v>
      </c>
      <c r="I1" s="23" t="s">
        <v>198</v>
      </c>
      <c r="J1" s="38" t="s">
        <v>201</v>
      </c>
      <c r="K1" s="38" t="s">
        <v>205</v>
      </c>
      <c r="L1" s="40" t="s">
        <v>207</v>
      </c>
      <c r="M1" s="38" t="s">
        <v>210</v>
      </c>
      <c r="N1" s="38" t="s">
        <v>222</v>
      </c>
      <c r="O1" s="41" t="s">
        <v>212</v>
      </c>
      <c r="P1" s="42" t="s">
        <v>214</v>
      </c>
      <c r="Q1" s="42" t="s">
        <v>216</v>
      </c>
      <c r="R1" s="23" t="s">
        <v>219</v>
      </c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</row>
    <row r="2" spans="1:31" ht="13.5" customHeight="1">
      <c r="A2" s="43" t="s">
        <v>178</v>
      </c>
      <c r="B2" s="43" t="s">
        <v>223</v>
      </c>
      <c r="C2" s="44" t="s">
        <v>224</v>
      </c>
      <c r="D2" s="45">
        <v>0</v>
      </c>
      <c r="E2" s="45">
        <v>0</v>
      </c>
      <c r="F2" s="45">
        <v>0</v>
      </c>
      <c r="G2" s="45">
        <v>0</v>
      </c>
      <c r="H2" s="46" t="s">
        <v>177</v>
      </c>
      <c r="I2" s="46" t="s">
        <v>199</v>
      </c>
      <c r="J2" s="47">
        <v>43.730119999999999</v>
      </c>
      <c r="K2" s="47">
        <v>-116.13500000000001</v>
      </c>
      <c r="L2" s="48">
        <v>1496.95</v>
      </c>
      <c r="M2" s="49">
        <v>15.74</v>
      </c>
      <c r="N2" s="49">
        <v>1.74</v>
      </c>
      <c r="O2" s="49">
        <f t="shared" ref="O2:O28" si="0">N2*1000</f>
        <v>1740</v>
      </c>
      <c r="P2" s="60">
        <v>678978</v>
      </c>
      <c r="Q2" s="61">
        <v>67.897800000000004</v>
      </c>
      <c r="R2" s="50">
        <v>5.6507310000000004</v>
      </c>
      <c r="S2" s="50"/>
      <c r="T2" s="34"/>
      <c r="U2" s="34"/>
      <c r="V2" s="34"/>
      <c r="W2" s="24"/>
      <c r="X2" s="34"/>
      <c r="Y2" s="24"/>
      <c r="Z2" s="24"/>
      <c r="AA2" s="24"/>
      <c r="AB2" s="24"/>
      <c r="AC2" s="24"/>
      <c r="AD2" s="24"/>
      <c r="AE2" s="24"/>
    </row>
    <row r="3" spans="1:31" ht="13.5" customHeight="1">
      <c r="A3" s="43" t="s">
        <v>178</v>
      </c>
      <c r="B3" s="38" t="s">
        <v>225</v>
      </c>
      <c r="C3" s="44" t="s">
        <v>224</v>
      </c>
      <c r="D3" s="45">
        <v>0</v>
      </c>
      <c r="E3" s="45">
        <v>0</v>
      </c>
      <c r="F3" s="45">
        <v>0</v>
      </c>
      <c r="G3" s="45">
        <v>0</v>
      </c>
      <c r="H3" s="46" t="s">
        <v>177</v>
      </c>
      <c r="I3" s="46" t="s">
        <v>199</v>
      </c>
      <c r="J3" s="47">
        <v>43.73845</v>
      </c>
      <c r="K3" s="47">
        <v>-116.113</v>
      </c>
      <c r="L3" s="48">
        <v>1799.28</v>
      </c>
      <c r="M3" s="49">
        <v>13.03</v>
      </c>
      <c r="N3" s="49">
        <v>3.89</v>
      </c>
      <c r="O3" s="49">
        <f t="shared" si="0"/>
        <v>3890</v>
      </c>
      <c r="P3" s="60">
        <v>122165</v>
      </c>
      <c r="Q3" s="61">
        <v>12.2165</v>
      </c>
      <c r="R3" s="50">
        <v>26.551909999999999</v>
      </c>
      <c r="S3" s="50"/>
      <c r="T3" s="34"/>
      <c r="U3" s="34"/>
      <c r="V3" s="34"/>
      <c r="W3" s="24"/>
      <c r="X3" s="34"/>
      <c r="Y3" s="24"/>
      <c r="Z3" s="24"/>
      <c r="AA3" s="24"/>
      <c r="AB3" s="24"/>
      <c r="AC3" s="24"/>
      <c r="AD3" s="24"/>
      <c r="AE3" s="24"/>
    </row>
    <row r="4" spans="1:31" ht="13.5" customHeight="1">
      <c r="A4" s="43" t="s">
        <v>178</v>
      </c>
      <c r="B4" s="43" t="s">
        <v>226</v>
      </c>
      <c r="C4" s="44" t="s">
        <v>224</v>
      </c>
      <c r="D4" s="45">
        <v>0</v>
      </c>
      <c r="E4" s="45">
        <v>0</v>
      </c>
      <c r="F4" s="45">
        <v>0</v>
      </c>
      <c r="G4" s="45">
        <v>0</v>
      </c>
      <c r="H4" s="46" t="s">
        <v>177</v>
      </c>
      <c r="I4" s="46" t="s">
        <v>199</v>
      </c>
      <c r="J4" s="47">
        <v>43.735520000000001</v>
      </c>
      <c r="K4" s="47">
        <v>-116.11499999999999</v>
      </c>
      <c r="L4" s="48">
        <v>1721.64</v>
      </c>
      <c r="M4" s="49">
        <v>14.86</v>
      </c>
      <c r="N4" s="49">
        <v>3.48</v>
      </c>
      <c r="O4" s="49">
        <f t="shared" si="0"/>
        <v>3480</v>
      </c>
      <c r="P4" s="60">
        <v>164290</v>
      </c>
      <c r="Q4" s="61">
        <v>16.428999999999998</v>
      </c>
      <c r="R4" s="50">
        <v>13.82572</v>
      </c>
      <c r="S4" s="50"/>
      <c r="T4" s="34"/>
      <c r="U4" s="34"/>
      <c r="V4" s="34"/>
      <c r="W4" s="24"/>
      <c r="X4" s="34"/>
      <c r="Y4" s="24"/>
      <c r="Z4" s="24"/>
      <c r="AA4" s="24"/>
      <c r="AB4" s="24"/>
      <c r="AC4" s="24"/>
      <c r="AD4" s="24"/>
      <c r="AE4" s="24"/>
    </row>
    <row r="5" spans="1:31" ht="13.5" customHeight="1">
      <c r="A5" s="43" t="s">
        <v>178</v>
      </c>
      <c r="B5" s="43" t="s">
        <v>227</v>
      </c>
      <c r="C5" s="44" t="s">
        <v>224</v>
      </c>
      <c r="D5" s="45">
        <v>0</v>
      </c>
      <c r="E5" s="45">
        <v>0</v>
      </c>
      <c r="F5" s="45">
        <v>0</v>
      </c>
      <c r="G5" s="45">
        <v>0</v>
      </c>
      <c r="H5" s="46" t="s">
        <v>177</v>
      </c>
      <c r="I5" s="46" t="s">
        <v>199</v>
      </c>
      <c r="J5" s="47">
        <v>43.733379999999997</v>
      </c>
      <c r="K5" s="47">
        <v>-116.11499999999999</v>
      </c>
      <c r="L5" s="48">
        <v>1668.68</v>
      </c>
      <c r="M5" s="49">
        <v>13.86</v>
      </c>
      <c r="N5" s="49">
        <v>3.2</v>
      </c>
      <c r="O5" s="49">
        <f t="shared" si="0"/>
        <v>3200</v>
      </c>
      <c r="P5" s="60">
        <v>455401</v>
      </c>
      <c r="Q5" s="61">
        <v>45.540100000000002</v>
      </c>
      <c r="R5" s="50">
        <v>23.61318</v>
      </c>
      <c r="S5" s="50"/>
      <c r="T5" s="34"/>
      <c r="U5" s="34"/>
      <c r="V5" s="34"/>
      <c r="W5" s="24"/>
      <c r="X5" s="34"/>
      <c r="Y5" s="24"/>
      <c r="Z5" s="24"/>
      <c r="AA5" s="24"/>
      <c r="AB5" s="24"/>
      <c r="AC5" s="24"/>
      <c r="AD5" s="24"/>
      <c r="AE5" s="24"/>
    </row>
    <row r="6" spans="1:31" ht="13.5" customHeight="1">
      <c r="A6" s="43" t="s">
        <v>178</v>
      </c>
      <c r="B6" s="43" t="s">
        <v>228</v>
      </c>
      <c r="C6" s="44" t="s">
        <v>224</v>
      </c>
      <c r="D6" s="45">
        <v>0</v>
      </c>
      <c r="E6" s="45">
        <v>0</v>
      </c>
      <c r="F6" s="45">
        <v>0</v>
      </c>
      <c r="G6" s="45">
        <v>0</v>
      </c>
      <c r="H6" s="46" t="s">
        <v>177</v>
      </c>
      <c r="I6" s="46" t="s">
        <v>199</v>
      </c>
      <c r="J6" s="47">
        <v>43.732340000000001</v>
      </c>
      <c r="K6" s="47">
        <v>-116.11799999999999</v>
      </c>
      <c r="L6" s="48">
        <v>1634.37</v>
      </c>
      <c r="M6" s="49">
        <v>13.33</v>
      </c>
      <c r="N6" s="49">
        <v>3.01</v>
      </c>
      <c r="O6" s="49">
        <f t="shared" si="0"/>
        <v>3010</v>
      </c>
      <c r="P6" s="60">
        <v>206592</v>
      </c>
      <c r="Q6" s="61">
        <v>20.659199999999998</v>
      </c>
      <c r="R6" s="50">
        <v>33.44258</v>
      </c>
      <c r="S6" s="50"/>
      <c r="T6" s="34"/>
      <c r="U6" s="34"/>
      <c r="V6" s="34"/>
      <c r="W6" s="24"/>
      <c r="X6" s="34"/>
      <c r="Y6" s="24"/>
      <c r="Z6" s="24"/>
      <c r="AA6" s="24"/>
      <c r="AB6" s="24"/>
      <c r="AC6" s="24"/>
      <c r="AD6" s="24"/>
      <c r="AE6" s="24"/>
    </row>
    <row r="7" spans="1:31" ht="13.5" customHeight="1">
      <c r="A7" s="43" t="s">
        <v>178</v>
      </c>
      <c r="B7" s="43" t="s">
        <v>229</v>
      </c>
      <c r="C7" s="44" t="s">
        <v>224</v>
      </c>
      <c r="D7" s="45">
        <v>0</v>
      </c>
      <c r="E7" s="45">
        <v>0</v>
      </c>
      <c r="F7" s="45">
        <v>0</v>
      </c>
      <c r="G7" s="45">
        <v>0</v>
      </c>
      <c r="H7" s="46" t="s">
        <v>177</v>
      </c>
      <c r="I7" s="46" t="s">
        <v>199</v>
      </c>
      <c r="J7" s="47">
        <v>43.730179999999997</v>
      </c>
      <c r="K7" s="47">
        <v>-116.122</v>
      </c>
      <c r="L7" s="48">
        <v>1589.07</v>
      </c>
      <c r="M7" s="49">
        <v>12.59</v>
      </c>
      <c r="N7" s="49">
        <v>2.4900000000000002</v>
      </c>
      <c r="O7" s="49">
        <f t="shared" si="0"/>
        <v>2490</v>
      </c>
      <c r="P7" s="60">
        <v>69379</v>
      </c>
      <c r="Q7" s="61">
        <v>6.9379</v>
      </c>
      <c r="R7" s="50">
        <v>24.136030000000002</v>
      </c>
      <c r="S7" s="50"/>
      <c r="T7" s="34"/>
      <c r="U7" s="34"/>
      <c r="V7" s="34"/>
      <c r="W7" s="24"/>
      <c r="X7" s="34"/>
      <c r="Y7" s="24"/>
      <c r="Z7" s="24"/>
      <c r="AA7" s="24"/>
      <c r="AB7" s="24"/>
      <c r="AC7" s="24"/>
      <c r="AD7" s="24"/>
      <c r="AE7" s="24"/>
    </row>
    <row r="8" spans="1:31" ht="13.5" customHeight="1">
      <c r="A8" s="43" t="s">
        <v>178</v>
      </c>
      <c r="B8" s="43" t="s">
        <v>230</v>
      </c>
      <c r="C8" s="44" t="s">
        <v>224</v>
      </c>
      <c r="D8" s="45">
        <v>0</v>
      </c>
      <c r="E8" s="45">
        <v>0</v>
      </c>
      <c r="F8" s="45">
        <v>0</v>
      </c>
      <c r="G8" s="45">
        <v>0</v>
      </c>
      <c r="H8" s="46" t="s">
        <v>177</v>
      </c>
      <c r="I8" s="46" t="s">
        <v>199</v>
      </c>
      <c r="J8" s="47">
        <v>43.730440000000002</v>
      </c>
      <c r="K8" s="47">
        <v>-116.11799999999999</v>
      </c>
      <c r="L8" s="48">
        <v>1591.76</v>
      </c>
      <c r="M8" s="49">
        <v>14.31</v>
      </c>
      <c r="N8" s="49">
        <v>2.73</v>
      </c>
      <c r="O8" s="49">
        <f t="shared" si="0"/>
        <v>2730</v>
      </c>
      <c r="P8" s="60">
        <v>815516</v>
      </c>
      <c r="Q8" s="61">
        <v>81.551599999999993</v>
      </c>
      <c r="R8" s="50">
        <v>19.27102</v>
      </c>
      <c r="S8" s="50"/>
      <c r="T8" s="34"/>
      <c r="U8" s="34"/>
      <c r="V8" s="34"/>
      <c r="W8" s="24"/>
      <c r="X8" s="34"/>
      <c r="Y8" s="24"/>
      <c r="Z8" s="24"/>
      <c r="AA8" s="24"/>
      <c r="AB8" s="24"/>
      <c r="AC8" s="24"/>
      <c r="AD8" s="24"/>
      <c r="AE8" s="24"/>
    </row>
    <row r="9" spans="1:31" ht="13.5" customHeight="1">
      <c r="A9" s="43" t="s">
        <v>178</v>
      </c>
      <c r="B9" s="43" t="s">
        <v>231</v>
      </c>
      <c r="C9" s="44" t="s">
        <v>224</v>
      </c>
      <c r="D9" s="45">
        <v>0</v>
      </c>
      <c r="E9" s="45">
        <v>0</v>
      </c>
      <c r="F9" s="45">
        <v>0</v>
      </c>
      <c r="G9" s="45">
        <v>0</v>
      </c>
      <c r="H9" s="46" t="s">
        <v>177</v>
      </c>
      <c r="I9" s="46" t="s">
        <v>199</v>
      </c>
      <c r="J9" s="47">
        <v>43.728670000000001</v>
      </c>
      <c r="K9" s="47">
        <v>-116.122</v>
      </c>
      <c r="L9" s="48">
        <v>1544.66</v>
      </c>
      <c r="M9" s="49">
        <v>16.13</v>
      </c>
      <c r="N9" s="49">
        <v>2.2799999999999998</v>
      </c>
      <c r="O9" s="49">
        <f t="shared" si="0"/>
        <v>2280</v>
      </c>
      <c r="P9" s="60">
        <v>1060889</v>
      </c>
      <c r="Q9" s="61">
        <v>106.0889</v>
      </c>
      <c r="R9" s="50">
        <v>18.0395</v>
      </c>
      <c r="S9" s="50"/>
      <c r="T9" s="34"/>
      <c r="U9" s="34"/>
      <c r="V9" s="34"/>
      <c r="W9" s="24"/>
      <c r="X9" s="34"/>
      <c r="Y9" s="24"/>
      <c r="Z9" s="24"/>
      <c r="AA9" s="24"/>
      <c r="AB9" s="24"/>
      <c r="AC9" s="24"/>
      <c r="AD9" s="24"/>
      <c r="AE9" s="24"/>
    </row>
    <row r="10" spans="1:31" ht="13.5" customHeight="1">
      <c r="A10" s="43" t="s">
        <v>178</v>
      </c>
      <c r="B10" s="43" t="s">
        <v>232</v>
      </c>
      <c r="C10" s="44" t="s">
        <v>224</v>
      </c>
      <c r="D10" s="45">
        <v>0</v>
      </c>
      <c r="E10" s="45">
        <v>0</v>
      </c>
      <c r="F10" s="45">
        <v>0</v>
      </c>
      <c r="G10" s="45">
        <v>0</v>
      </c>
      <c r="H10" s="46" t="s">
        <v>177</v>
      </c>
      <c r="I10" s="46" t="s">
        <v>199</v>
      </c>
      <c r="J10" s="47">
        <v>43.729300000000002</v>
      </c>
      <c r="K10" s="47">
        <v>-116.124</v>
      </c>
      <c r="L10" s="48">
        <v>1573.18</v>
      </c>
      <c r="M10" s="49">
        <v>13.44</v>
      </c>
      <c r="N10" s="49">
        <v>2.23</v>
      </c>
      <c r="O10" s="49">
        <f t="shared" si="0"/>
        <v>2230</v>
      </c>
      <c r="P10" s="60">
        <v>84232</v>
      </c>
      <c r="Q10" s="61">
        <v>8.4231999999999996</v>
      </c>
      <c r="R10" s="50">
        <v>17.066500000000001</v>
      </c>
      <c r="S10" s="50"/>
      <c r="T10" s="34"/>
      <c r="U10" s="34"/>
      <c r="V10" s="34"/>
      <c r="W10" s="24"/>
      <c r="X10" s="34"/>
      <c r="Y10" s="24"/>
      <c r="Z10" s="24"/>
      <c r="AA10" s="24"/>
      <c r="AB10" s="24"/>
      <c r="AC10" s="24"/>
      <c r="AD10" s="24"/>
      <c r="AE10" s="24"/>
    </row>
    <row r="11" spans="1:31" ht="13.5" customHeight="1">
      <c r="A11" s="43" t="s">
        <v>178</v>
      </c>
      <c r="B11" s="43" t="s">
        <v>233</v>
      </c>
      <c r="C11" s="44" t="s">
        <v>224</v>
      </c>
      <c r="D11" s="45">
        <v>0</v>
      </c>
      <c r="E11" s="45">
        <v>0</v>
      </c>
      <c r="F11" s="45">
        <v>0</v>
      </c>
      <c r="G11" s="45">
        <v>0</v>
      </c>
      <c r="H11" s="46" t="s">
        <v>177</v>
      </c>
      <c r="I11" s="46" t="s">
        <v>199</v>
      </c>
      <c r="J11" s="47">
        <v>43.729010000000002</v>
      </c>
      <c r="K11" s="47">
        <v>-116.125</v>
      </c>
      <c r="L11" s="48">
        <v>1548.62</v>
      </c>
      <c r="M11" s="49">
        <v>13.14</v>
      </c>
      <c r="N11" s="49">
        <v>2.09</v>
      </c>
      <c r="O11" s="49">
        <f t="shared" si="0"/>
        <v>2090</v>
      </c>
      <c r="P11" s="60">
        <v>180893</v>
      </c>
      <c r="Q11" s="61">
        <v>18.089300000000001</v>
      </c>
      <c r="R11" s="50">
        <v>21.58034</v>
      </c>
      <c r="S11" s="50"/>
      <c r="T11" s="51"/>
      <c r="U11" s="52"/>
      <c r="V11" s="52"/>
      <c r="W11" s="19"/>
      <c r="X11" s="51"/>
      <c r="Y11" s="19"/>
      <c r="Z11" s="53"/>
      <c r="AA11" s="19"/>
      <c r="AB11" s="19"/>
      <c r="AC11" s="19"/>
      <c r="AD11" s="19"/>
      <c r="AE11" s="19"/>
    </row>
    <row r="12" spans="1:31" ht="13.5" customHeight="1">
      <c r="A12" s="43" t="s">
        <v>178</v>
      </c>
      <c r="B12" s="43" t="s">
        <v>234</v>
      </c>
      <c r="C12" s="44" t="s">
        <v>224</v>
      </c>
      <c r="D12" s="45">
        <v>0</v>
      </c>
      <c r="E12" s="45">
        <v>0</v>
      </c>
      <c r="F12" s="45">
        <v>0</v>
      </c>
      <c r="G12" s="45">
        <v>0</v>
      </c>
      <c r="H12" s="46" t="s">
        <v>177</v>
      </c>
      <c r="I12" s="46" t="s">
        <v>199</v>
      </c>
      <c r="J12" s="47">
        <v>43.727200000000003</v>
      </c>
      <c r="K12" s="47">
        <v>-116.127</v>
      </c>
      <c r="L12" s="48">
        <v>1454.06</v>
      </c>
      <c r="M12" s="49">
        <v>17.440000000000001</v>
      </c>
      <c r="N12" s="49">
        <v>1.66</v>
      </c>
      <c r="O12" s="49">
        <f t="shared" si="0"/>
        <v>1660</v>
      </c>
      <c r="P12" s="60">
        <v>1542231</v>
      </c>
      <c r="Q12" s="61">
        <v>154.22309999999999</v>
      </c>
      <c r="R12" s="50">
        <v>6.7799069999999997</v>
      </c>
      <c r="S12" s="50"/>
      <c r="T12" s="51"/>
      <c r="U12" s="52"/>
      <c r="V12" s="52"/>
      <c r="W12" s="19"/>
      <c r="X12" s="51"/>
      <c r="Y12" s="19"/>
      <c r="Z12" s="53"/>
      <c r="AA12" s="19"/>
      <c r="AB12" s="19"/>
      <c r="AC12" s="19"/>
      <c r="AD12" s="19"/>
      <c r="AE12" s="19"/>
    </row>
    <row r="13" spans="1:31" ht="13.5" customHeight="1">
      <c r="A13" s="43" t="s">
        <v>178</v>
      </c>
      <c r="B13" s="43" t="s">
        <v>235</v>
      </c>
      <c r="C13" s="44" t="s">
        <v>224</v>
      </c>
      <c r="D13" s="45">
        <v>0</v>
      </c>
      <c r="E13" s="45">
        <v>0</v>
      </c>
      <c r="F13" s="45">
        <v>0</v>
      </c>
      <c r="G13" s="45">
        <v>0</v>
      </c>
      <c r="H13" s="46" t="s">
        <v>177</v>
      </c>
      <c r="I13" s="46" t="s">
        <v>199</v>
      </c>
      <c r="J13" s="47">
        <v>43.727499999999999</v>
      </c>
      <c r="K13" s="47">
        <v>-116.136</v>
      </c>
      <c r="L13" s="48">
        <v>1449.53</v>
      </c>
      <c r="M13" s="49">
        <v>14.94</v>
      </c>
      <c r="N13" s="49">
        <v>1.38</v>
      </c>
      <c r="O13" s="49">
        <f t="shared" si="0"/>
        <v>1380</v>
      </c>
      <c r="P13" s="60">
        <v>986178</v>
      </c>
      <c r="Q13" s="61">
        <v>98.617800000000003</v>
      </c>
      <c r="R13" s="50">
        <v>37.126739999999998</v>
      </c>
      <c r="S13" s="50"/>
      <c r="T13" s="51"/>
      <c r="U13" s="52"/>
      <c r="V13" s="52"/>
      <c r="W13" s="19"/>
      <c r="X13" s="51"/>
      <c r="Y13" s="19"/>
      <c r="Z13" s="53"/>
      <c r="AA13" s="19"/>
      <c r="AB13" s="19"/>
      <c r="AC13" s="19"/>
      <c r="AD13" s="19"/>
      <c r="AE13" s="19"/>
    </row>
    <row r="14" spans="1:31" ht="13.5" customHeight="1">
      <c r="A14" s="43" t="s">
        <v>178</v>
      </c>
      <c r="B14" s="43" t="s">
        <v>236</v>
      </c>
      <c r="C14" s="44" t="s">
        <v>224</v>
      </c>
      <c r="D14" s="45">
        <v>0</v>
      </c>
      <c r="E14" s="45">
        <v>0</v>
      </c>
      <c r="F14" s="45">
        <v>0</v>
      </c>
      <c r="G14" s="45">
        <v>0</v>
      </c>
      <c r="H14" s="46" t="s">
        <v>177</v>
      </c>
      <c r="I14" s="46" t="s">
        <v>199</v>
      </c>
      <c r="J14" s="47">
        <v>43.728589999999997</v>
      </c>
      <c r="K14" s="47">
        <v>-116.13</v>
      </c>
      <c r="L14" s="48">
        <v>1492.04</v>
      </c>
      <c r="M14" s="49">
        <v>13.26</v>
      </c>
      <c r="N14" s="49">
        <v>1.72</v>
      </c>
      <c r="O14" s="49">
        <f t="shared" si="0"/>
        <v>1720</v>
      </c>
      <c r="P14" s="60">
        <v>207556</v>
      </c>
      <c r="Q14" s="61">
        <v>20.755600000000001</v>
      </c>
      <c r="R14" s="50">
        <v>38.462310000000002</v>
      </c>
      <c r="S14" s="50"/>
      <c r="T14" s="51"/>
      <c r="U14" s="52"/>
      <c r="V14" s="52"/>
      <c r="W14" s="19"/>
      <c r="X14" s="51"/>
      <c r="Y14" s="19"/>
      <c r="Z14" s="53"/>
      <c r="AA14" s="19"/>
      <c r="AB14" s="19"/>
      <c r="AC14" s="19"/>
      <c r="AD14" s="19"/>
      <c r="AE14" s="19"/>
    </row>
    <row r="15" spans="1:31" ht="13.5" customHeight="1">
      <c r="A15" s="43" t="s">
        <v>178</v>
      </c>
      <c r="B15" s="43" t="s">
        <v>237</v>
      </c>
      <c r="C15" s="44" t="s">
        <v>224</v>
      </c>
      <c r="D15" s="45">
        <v>0</v>
      </c>
      <c r="E15" s="45">
        <v>0</v>
      </c>
      <c r="F15" s="45">
        <v>0</v>
      </c>
      <c r="G15" s="45">
        <v>0</v>
      </c>
      <c r="H15" s="46" t="s">
        <v>177</v>
      </c>
      <c r="I15" s="46" t="s">
        <v>199</v>
      </c>
      <c r="J15" s="47">
        <v>43.72504</v>
      </c>
      <c r="K15" s="47">
        <v>-116.134</v>
      </c>
      <c r="L15" s="48">
        <v>1388.15</v>
      </c>
      <c r="M15" s="49">
        <v>15.81</v>
      </c>
      <c r="N15" s="49">
        <v>1.02</v>
      </c>
      <c r="O15" s="49">
        <f t="shared" si="0"/>
        <v>1020</v>
      </c>
      <c r="P15" s="60">
        <v>1126465</v>
      </c>
      <c r="Q15" s="61">
        <v>112.6465</v>
      </c>
      <c r="R15" s="50">
        <v>6.4137550000000001</v>
      </c>
      <c r="S15" s="50"/>
      <c r="T15" s="51"/>
      <c r="U15" s="52"/>
      <c r="V15" s="52"/>
      <c r="W15" s="19"/>
      <c r="X15" s="51"/>
      <c r="Y15" s="19"/>
      <c r="Z15" s="53"/>
      <c r="AA15" s="19"/>
      <c r="AB15" s="19"/>
      <c r="AC15" s="19"/>
      <c r="AD15" s="19"/>
      <c r="AE15" s="19"/>
    </row>
    <row r="16" spans="1:31" ht="13.5" customHeight="1">
      <c r="A16" s="43" t="s">
        <v>178</v>
      </c>
      <c r="B16" s="43" t="s">
        <v>238</v>
      </c>
      <c r="C16" s="44" t="s">
        <v>224</v>
      </c>
      <c r="D16" s="45">
        <v>0</v>
      </c>
      <c r="E16" s="45">
        <v>0</v>
      </c>
      <c r="F16" s="45">
        <v>0</v>
      </c>
      <c r="G16" s="45">
        <v>0</v>
      </c>
      <c r="H16" s="46" t="s">
        <v>177</v>
      </c>
      <c r="I16" s="46" t="s">
        <v>199</v>
      </c>
      <c r="J16" s="47">
        <v>43.724290000000003</v>
      </c>
      <c r="K16" s="47">
        <v>-116.133</v>
      </c>
      <c r="L16" s="48">
        <v>1407.37</v>
      </c>
      <c r="M16" s="49">
        <v>16.25</v>
      </c>
      <c r="N16" s="49">
        <v>0.96</v>
      </c>
      <c r="O16" s="49">
        <f t="shared" si="0"/>
        <v>960</v>
      </c>
      <c r="P16" s="60">
        <v>2033530</v>
      </c>
      <c r="Q16" s="61">
        <v>203.35300000000001</v>
      </c>
      <c r="R16" s="50">
        <v>6.9661819999999999</v>
      </c>
      <c r="S16" s="50"/>
      <c r="T16" s="51"/>
      <c r="U16" s="52"/>
      <c r="V16" s="52"/>
      <c r="W16" s="19"/>
      <c r="X16" s="51"/>
      <c r="Y16" s="19"/>
      <c r="Z16" s="53"/>
      <c r="AA16" s="19"/>
      <c r="AB16" s="19"/>
      <c r="AC16" s="19"/>
      <c r="AD16" s="19"/>
      <c r="AE16" s="19"/>
    </row>
    <row r="17" spans="1:31" ht="13.5" customHeight="1">
      <c r="A17" s="43" t="s">
        <v>178</v>
      </c>
      <c r="B17" s="43" t="s">
        <v>239</v>
      </c>
      <c r="C17" s="44" t="s">
        <v>224</v>
      </c>
      <c r="D17" s="45">
        <v>0</v>
      </c>
      <c r="E17" s="45">
        <v>0</v>
      </c>
      <c r="F17" s="45">
        <v>0</v>
      </c>
      <c r="G17" s="45">
        <v>0</v>
      </c>
      <c r="H17" s="46" t="s">
        <v>177</v>
      </c>
      <c r="I17" s="46" t="s">
        <v>199</v>
      </c>
      <c r="J17" s="47">
        <v>43.721739999999997</v>
      </c>
      <c r="K17" s="47">
        <v>-116.136</v>
      </c>
      <c r="L17" s="48">
        <v>1329.48</v>
      </c>
      <c r="M17" s="49">
        <v>16.25</v>
      </c>
      <c r="N17" s="49">
        <v>0.49</v>
      </c>
      <c r="O17" s="49">
        <f t="shared" si="0"/>
        <v>490</v>
      </c>
      <c r="P17" s="60">
        <v>3321909</v>
      </c>
      <c r="Q17" s="61">
        <v>332.1909</v>
      </c>
      <c r="R17" s="50">
        <v>30.332930000000001</v>
      </c>
      <c r="S17" s="50"/>
      <c r="T17" s="19"/>
      <c r="U17" s="52"/>
      <c r="V17" s="52"/>
      <c r="W17" s="19"/>
      <c r="X17" s="51"/>
      <c r="Y17" s="19"/>
      <c r="Z17" s="53"/>
      <c r="AA17" s="19"/>
      <c r="AB17" s="19"/>
      <c r="AC17" s="19"/>
      <c r="AD17" s="19"/>
      <c r="AE17" s="19"/>
    </row>
    <row r="18" spans="1:31" ht="13.5" customHeight="1">
      <c r="A18" s="43" t="s">
        <v>178</v>
      </c>
      <c r="B18" s="43" t="s">
        <v>240</v>
      </c>
      <c r="C18" s="44" t="s">
        <v>224</v>
      </c>
      <c r="D18" s="45">
        <v>0</v>
      </c>
      <c r="E18" s="45">
        <v>0</v>
      </c>
      <c r="F18" s="45">
        <v>0</v>
      </c>
      <c r="G18" s="45">
        <v>0</v>
      </c>
      <c r="H18" s="46" t="s">
        <v>177</v>
      </c>
      <c r="I18" s="46" t="s">
        <v>199</v>
      </c>
      <c r="J18" s="47">
        <v>43.719589999999997</v>
      </c>
      <c r="K18" s="47">
        <v>-116.137</v>
      </c>
      <c r="L18" s="48">
        <v>1303.22</v>
      </c>
      <c r="M18" s="49">
        <v>17.22</v>
      </c>
      <c r="N18" s="49">
        <v>0.16</v>
      </c>
      <c r="O18" s="49">
        <f t="shared" si="0"/>
        <v>160</v>
      </c>
      <c r="P18" s="60">
        <v>3787272</v>
      </c>
      <c r="Q18" s="61">
        <v>378.72719999999998</v>
      </c>
      <c r="R18" s="50">
        <v>17.213049999999999</v>
      </c>
      <c r="S18" s="50"/>
      <c r="T18" s="19"/>
      <c r="U18" s="52"/>
      <c r="V18" s="52"/>
      <c r="W18" s="19"/>
      <c r="X18" s="51"/>
      <c r="Y18" s="19"/>
      <c r="Z18" s="53"/>
      <c r="AA18" s="19"/>
      <c r="AB18" s="19"/>
      <c r="AC18" s="19"/>
      <c r="AD18" s="19"/>
      <c r="AE18" s="19"/>
    </row>
    <row r="19" spans="1:31" ht="13.5" customHeight="1">
      <c r="A19" s="43" t="s">
        <v>178</v>
      </c>
      <c r="B19" s="43" t="s">
        <v>241</v>
      </c>
      <c r="C19" s="44" t="s">
        <v>224</v>
      </c>
      <c r="D19" s="45">
        <v>0</v>
      </c>
      <c r="E19" s="45">
        <v>0</v>
      </c>
      <c r="F19" s="45">
        <v>0</v>
      </c>
      <c r="G19" s="45">
        <v>0</v>
      </c>
      <c r="H19" s="46" t="s">
        <v>177</v>
      </c>
      <c r="I19" s="46" t="s">
        <v>199</v>
      </c>
      <c r="J19" s="47">
        <v>43.722700000000003</v>
      </c>
      <c r="K19" s="47">
        <v>-116.139</v>
      </c>
      <c r="L19" s="48">
        <v>1364.34</v>
      </c>
      <c r="M19" s="49">
        <v>14.8</v>
      </c>
      <c r="N19" s="49">
        <v>0.64</v>
      </c>
      <c r="O19" s="49">
        <f t="shared" si="0"/>
        <v>640</v>
      </c>
      <c r="P19" s="60">
        <v>30168.5</v>
      </c>
      <c r="Q19" s="61">
        <v>3.0169000000000001</v>
      </c>
      <c r="R19" s="50">
        <v>39.214550000000003</v>
      </c>
      <c r="S19" s="50"/>
      <c r="T19" s="19"/>
      <c r="U19" s="52"/>
      <c r="V19" s="52"/>
      <c r="W19" s="19"/>
      <c r="X19" s="51"/>
      <c r="Y19" s="19"/>
      <c r="Z19" s="53"/>
      <c r="AA19" s="19"/>
      <c r="AB19" s="19"/>
      <c r="AC19" s="19"/>
      <c r="AD19" s="19"/>
      <c r="AE19" s="19"/>
    </row>
    <row r="20" spans="1:31" ht="13.5" customHeight="1">
      <c r="A20" s="43" t="s">
        <v>178</v>
      </c>
      <c r="B20" s="43" t="s">
        <v>242</v>
      </c>
      <c r="C20" s="44" t="s">
        <v>224</v>
      </c>
      <c r="D20" s="45">
        <v>0</v>
      </c>
      <c r="E20" s="45">
        <v>0</v>
      </c>
      <c r="F20" s="45">
        <v>0</v>
      </c>
      <c r="G20" s="45">
        <v>0</v>
      </c>
      <c r="H20" s="46" t="s">
        <v>177</v>
      </c>
      <c r="I20" s="46" t="s">
        <v>199</v>
      </c>
      <c r="J20" s="47">
        <v>43.725189999999998</v>
      </c>
      <c r="K20" s="47">
        <v>-116.142</v>
      </c>
      <c r="L20" s="48">
        <v>1416.04</v>
      </c>
      <c r="M20" s="49">
        <v>11.33</v>
      </c>
      <c r="N20" s="49">
        <v>1.05</v>
      </c>
      <c r="O20" s="49">
        <f t="shared" si="0"/>
        <v>1050</v>
      </c>
      <c r="P20" s="60">
        <v>35413</v>
      </c>
      <c r="Q20" s="61">
        <v>3.5413000000000001</v>
      </c>
      <c r="R20" s="50">
        <v>18.745999999999999</v>
      </c>
      <c r="S20" s="50"/>
      <c r="T20" s="19"/>
      <c r="U20" s="52"/>
      <c r="V20" s="52"/>
      <c r="W20" s="19"/>
      <c r="X20" s="51"/>
      <c r="Y20" s="19"/>
      <c r="Z20" s="53"/>
      <c r="AA20" s="19"/>
      <c r="AB20" s="19"/>
      <c r="AC20" s="19"/>
      <c r="AD20" s="19"/>
      <c r="AE20" s="19"/>
    </row>
    <row r="21" spans="1:31" ht="13.5" customHeight="1">
      <c r="A21" s="43" t="s">
        <v>178</v>
      </c>
      <c r="B21" s="43" t="s">
        <v>243</v>
      </c>
      <c r="C21" s="44" t="s">
        <v>224</v>
      </c>
      <c r="D21" s="45">
        <v>0</v>
      </c>
      <c r="E21" s="45">
        <v>0</v>
      </c>
      <c r="F21" s="45">
        <v>0</v>
      </c>
      <c r="G21" s="45">
        <v>0</v>
      </c>
      <c r="H21" s="46" t="s">
        <v>177</v>
      </c>
      <c r="I21" s="46" t="s">
        <v>199</v>
      </c>
      <c r="J21" s="47">
        <v>43.726030000000002</v>
      </c>
      <c r="K21" s="47">
        <v>-116.14100000000001</v>
      </c>
      <c r="L21" s="48">
        <v>1460.91</v>
      </c>
      <c r="M21" s="49">
        <v>11.63</v>
      </c>
      <c r="N21" s="49">
        <v>1.1200000000000001</v>
      </c>
      <c r="O21" s="49">
        <f t="shared" si="0"/>
        <v>1120</v>
      </c>
      <c r="P21" s="60">
        <v>69759</v>
      </c>
      <c r="Q21" s="61">
        <v>6.9759000000000002</v>
      </c>
      <c r="R21" s="50">
        <v>31.799399999999999</v>
      </c>
      <c r="S21" s="50"/>
      <c r="T21" s="51"/>
      <c r="U21" s="52"/>
      <c r="V21" s="52"/>
      <c r="W21" s="19"/>
      <c r="X21" s="51"/>
      <c r="Y21" s="19"/>
      <c r="Z21" s="53"/>
      <c r="AA21" s="19"/>
      <c r="AB21" s="19"/>
      <c r="AC21" s="19"/>
      <c r="AD21" s="19"/>
      <c r="AE21" s="19"/>
    </row>
    <row r="22" spans="1:31" ht="13.5" customHeight="1">
      <c r="A22" s="43" t="s">
        <v>178</v>
      </c>
      <c r="B22" s="43" t="s">
        <v>244</v>
      </c>
      <c r="C22" s="44" t="s">
        <v>224</v>
      </c>
      <c r="D22" s="45">
        <v>1</v>
      </c>
      <c r="E22" s="45">
        <v>0</v>
      </c>
      <c r="F22" s="45">
        <v>0</v>
      </c>
      <c r="G22" s="45">
        <v>0</v>
      </c>
      <c r="H22" s="46" t="s">
        <v>177</v>
      </c>
      <c r="I22" s="46" t="s">
        <v>199</v>
      </c>
      <c r="J22" s="47">
        <v>43.730139999999999</v>
      </c>
      <c r="K22" s="47">
        <v>-116.13500000000001</v>
      </c>
      <c r="L22" s="48">
        <v>1294.9100000000001</v>
      </c>
      <c r="M22" s="49">
        <v>17.87</v>
      </c>
      <c r="N22" s="49">
        <v>0</v>
      </c>
      <c r="O22" s="49">
        <f t="shared" si="0"/>
        <v>0</v>
      </c>
      <c r="P22" s="60">
        <v>3816936</v>
      </c>
      <c r="Q22" s="61">
        <v>381.6936</v>
      </c>
      <c r="R22" s="50">
        <v>3.7856299999999998</v>
      </c>
      <c r="S22" s="50"/>
      <c r="T22" s="51"/>
      <c r="U22" s="52"/>
      <c r="V22" s="52"/>
      <c r="W22" s="19"/>
      <c r="X22" s="51"/>
      <c r="Y22" s="19"/>
      <c r="Z22" s="53"/>
      <c r="AA22" s="19"/>
      <c r="AB22" s="19"/>
      <c r="AC22" s="19"/>
      <c r="AD22" s="19"/>
      <c r="AE22" s="19"/>
    </row>
    <row r="23" spans="1:31" ht="13.5" customHeight="1">
      <c r="A23" s="43" t="s">
        <v>178</v>
      </c>
      <c r="B23" s="43" t="s">
        <v>245</v>
      </c>
      <c r="C23" s="44" t="s">
        <v>224</v>
      </c>
      <c r="D23" s="45">
        <v>0</v>
      </c>
      <c r="E23" s="45">
        <v>1</v>
      </c>
      <c r="F23" s="45">
        <v>0</v>
      </c>
      <c r="G23" s="45">
        <v>0</v>
      </c>
      <c r="H23" s="46" t="s">
        <v>177</v>
      </c>
      <c r="I23" s="46" t="s">
        <v>199</v>
      </c>
      <c r="J23" s="47">
        <v>43.721350000000001</v>
      </c>
      <c r="K23" s="47">
        <v>-116.137</v>
      </c>
      <c r="L23" s="48">
        <v>1319.15</v>
      </c>
      <c r="M23" s="49">
        <v>17.82</v>
      </c>
      <c r="N23" s="49">
        <v>0.42</v>
      </c>
      <c r="O23" s="49">
        <f t="shared" si="0"/>
        <v>420</v>
      </c>
      <c r="P23" s="60">
        <v>3331905</v>
      </c>
      <c r="Q23" s="61">
        <v>333.19049999999999</v>
      </c>
      <c r="R23" s="50">
        <v>3.4678599999999999</v>
      </c>
      <c r="S23" s="50"/>
      <c r="T23" s="51"/>
      <c r="U23" s="52"/>
      <c r="V23" s="52"/>
      <c r="W23" s="19"/>
      <c r="X23" s="51"/>
      <c r="Y23" s="19"/>
      <c r="Z23" s="53"/>
      <c r="AA23" s="19"/>
      <c r="AB23" s="19"/>
      <c r="AC23" s="19"/>
      <c r="AD23" s="19"/>
      <c r="AE23" s="19"/>
    </row>
    <row r="24" spans="1:31" ht="13.5" customHeight="1">
      <c r="A24" s="43" t="s">
        <v>178</v>
      </c>
      <c r="B24" s="43" t="s">
        <v>246</v>
      </c>
      <c r="C24" s="44" t="s">
        <v>224</v>
      </c>
      <c r="D24" s="45">
        <v>0</v>
      </c>
      <c r="E24" s="45">
        <v>1</v>
      </c>
      <c r="F24" s="45">
        <v>0</v>
      </c>
      <c r="G24" s="45">
        <v>0</v>
      </c>
      <c r="H24" s="46" t="s">
        <v>177</v>
      </c>
      <c r="I24" s="46" t="s">
        <v>199</v>
      </c>
      <c r="J24" s="47">
        <v>43.726770000000002</v>
      </c>
      <c r="K24" s="47">
        <v>-116.14100000000001</v>
      </c>
      <c r="L24" s="48">
        <v>1497.33</v>
      </c>
      <c r="M24" s="49">
        <v>12.38</v>
      </c>
      <c r="N24" s="49">
        <v>1.22</v>
      </c>
      <c r="O24" s="49">
        <f t="shared" si="0"/>
        <v>1220</v>
      </c>
      <c r="P24" s="60">
        <v>56071</v>
      </c>
      <c r="Q24" s="61">
        <v>5.6071</v>
      </c>
      <c r="R24" s="50">
        <v>22.438690000000001</v>
      </c>
      <c r="S24" s="50"/>
      <c r="T24" s="51"/>
      <c r="U24" s="52"/>
      <c r="V24" s="52"/>
      <c r="W24" s="19"/>
      <c r="X24" s="51"/>
      <c r="Y24" s="19"/>
      <c r="Z24" s="53"/>
      <c r="AA24" s="19"/>
      <c r="AB24" s="19"/>
      <c r="AC24" s="19"/>
      <c r="AD24" s="19"/>
      <c r="AE24" s="19"/>
    </row>
    <row r="25" spans="1:31" ht="13.5" customHeight="1">
      <c r="A25" s="43" t="s">
        <v>178</v>
      </c>
      <c r="B25" s="43" t="s">
        <v>247</v>
      </c>
      <c r="C25" s="44" t="s">
        <v>224</v>
      </c>
      <c r="D25" s="45">
        <v>0</v>
      </c>
      <c r="E25" s="45">
        <v>1</v>
      </c>
      <c r="F25" s="45">
        <v>0</v>
      </c>
      <c r="G25" s="45">
        <v>0</v>
      </c>
      <c r="H25" s="46" t="s">
        <v>177</v>
      </c>
      <c r="I25" s="46" t="s">
        <v>199</v>
      </c>
      <c r="J25" s="47">
        <v>43.727119999999999</v>
      </c>
      <c r="K25" s="47">
        <v>-116.14100000000001</v>
      </c>
      <c r="L25" s="48">
        <v>1514.41</v>
      </c>
      <c r="M25" s="49">
        <v>12.08</v>
      </c>
      <c r="N25" s="49">
        <v>1.26</v>
      </c>
      <c r="O25" s="49">
        <f t="shared" si="0"/>
        <v>1260</v>
      </c>
      <c r="P25" s="60">
        <v>1089530</v>
      </c>
      <c r="Q25" s="61">
        <v>108.953</v>
      </c>
      <c r="R25" s="50">
        <v>30.086459999999999</v>
      </c>
      <c r="S25" s="50"/>
      <c r="T25" s="51"/>
      <c r="U25" s="52"/>
      <c r="V25" s="52"/>
      <c r="W25" s="19"/>
      <c r="X25" s="51"/>
      <c r="Y25" s="19"/>
      <c r="Z25" s="53"/>
      <c r="AA25" s="19"/>
      <c r="AB25" s="19"/>
      <c r="AC25" s="19"/>
      <c r="AD25" s="19"/>
      <c r="AE25" s="19"/>
    </row>
    <row r="26" spans="1:31" ht="13.5" customHeight="1">
      <c r="A26" s="43" t="s">
        <v>178</v>
      </c>
      <c r="B26" s="43" t="s">
        <v>248</v>
      </c>
      <c r="C26" s="44" t="s">
        <v>224</v>
      </c>
      <c r="D26" s="45">
        <v>0</v>
      </c>
      <c r="E26" s="45">
        <v>1</v>
      </c>
      <c r="F26" s="45">
        <v>0</v>
      </c>
      <c r="G26" s="45">
        <v>0</v>
      </c>
      <c r="H26" s="46" t="s">
        <v>177</v>
      </c>
      <c r="I26" s="46" t="s">
        <v>199</v>
      </c>
      <c r="J26" s="47">
        <v>43.728259999999999</v>
      </c>
      <c r="K26" s="47">
        <v>-116.122</v>
      </c>
      <c r="L26" s="48">
        <v>1534.36</v>
      </c>
      <c r="M26" s="49">
        <v>15.06</v>
      </c>
      <c r="N26" s="49">
        <v>2.2000000000000002</v>
      </c>
      <c r="O26" s="49">
        <f t="shared" si="0"/>
        <v>2200</v>
      </c>
      <c r="P26" s="60">
        <v>1089526</v>
      </c>
      <c r="Q26" s="61">
        <v>108.9526</v>
      </c>
      <c r="R26" s="50">
        <v>17.430630000000001</v>
      </c>
      <c r="S26" s="50"/>
      <c r="T26" s="51"/>
      <c r="U26" s="52"/>
      <c r="V26" s="52"/>
      <c r="W26" s="19"/>
      <c r="X26" s="51"/>
      <c r="Y26" s="19"/>
      <c r="Z26" s="53"/>
      <c r="AA26" s="19"/>
      <c r="AB26" s="19"/>
      <c r="AC26" s="19"/>
      <c r="AD26" s="19"/>
      <c r="AE26" s="19"/>
    </row>
    <row r="27" spans="1:31" ht="13.5" customHeight="1">
      <c r="A27" s="43" t="s">
        <v>178</v>
      </c>
      <c r="B27" s="43" t="s">
        <v>249</v>
      </c>
      <c r="C27" s="44" t="s">
        <v>224</v>
      </c>
      <c r="D27" s="45">
        <v>0</v>
      </c>
      <c r="E27" s="45">
        <v>1</v>
      </c>
      <c r="F27" s="45">
        <v>0</v>
      </c>
      <c r="G27" s="45">
        <v>0</v>
      </c>
      <c r="H27" s="46" t="s">
        <v>177</v>
      </c>
      <c r="I27" s="46" t="s">
        <v>199</v>
      </c>
      <c r="J27" s="47">
        <v>43.734020000000001</v>
      </c>
      <c r="K27" s="47">
        <v>-116.11499999999999</v>
      </c>
      <c r="L27" s="48">
        <v>1700.2</v>
      </c>
      <c r="M27" s="49">
        <v>14.58</v>
      </c>
      <c r="N27" s="49">
        <v>3.28</v>
      </c>
      <c r="O27" s="49">
        <f t="shared" si="0"/>
        <v>3280</v>
      </c>
      <c r="P27" s="60">
        <v>423814</v>
      </c>
      <c r="Q27" s="61">
        <v>42.381399999999999</v>
      </c>
      <c r="R27" s="50">
        <v>11.169750000000001</v>
      </c>
      <c r="S27" s="50"/>
      <c r="T27" s="51"/>
      <c r="U27" s="52"/>
      <c r="V27" s="52"/>
      <c r="W27" s="19"/>
      <c r="X27" s="51"/>
      <c r="Y27" s="19"/>
      <c r="Z27" s="53"/>
      <c r="AA27" s="19"/>
      <c r="AB27" s="19"/>
      <c r="AC27" s="19"/>
      <c r="AD27" s="19"/>
      <c r="AE27" s="19"/>
    </row>
    <row r="28" spans="1:31" ht="13.5" customHeight="1">
      <c r="A28" s="43" t="s">
        <v>178</v>
      </c>
      <c r="B28" s="43" t="s">
        <v>250</v>
      </c>
      <c r="C28" s="44" t="s">
        <v>224</v>
      </c>
      <c r="D28" s="45">
        <v>0</v>
      </c>
      <c r="E28" s="45">
        <v>1</v>
      </c>
      <c r="F28" s="45">
        <v>0</v>
      </c>
      <c r="G28" s="45">
        <v>0</v>
      </c>
      <c r="H28" s="46" t="s">
        <v>177</v>
      </c>
      <c r="I28" s="46" t="s">
        <v>199</v>
      </c>
      <c r="J28" s="47">
        <v>43.734780000000001</v>
      </c>
      <c r="K28" s="47">
        <v>-116.11499999999999</v>
      </c>
      <c r="L28" s="48">
        <v>1711.37</v>
      </c>
      <c r="M28" s="49">
        <v>13.81</v>
      </c>
      <c r="N28" s="49">
        <v>3.38</v>
      </c>
      <c r="O28" s="49">
        <f t="shared" si="0"/>
        <v>3380</v>
      </c>
      <c r="P28" s="60">
        <v>177871</v>
      </c>
      <c r="Q28" s="61">
        <v>17.787099999999999</v>
      </c>
      <c r="R28" s="50">
        <v>10.16827</v>
      </c>
      <c r="S28" s="50"/>
      <c r="T28" s="51"/>
      <c r="U28" s="52"/>
      <c r="V28" s="52"/>
      <c r="W28" s="19"/>
      <c r="X28" s="51"/>
      <c r="Y28" s="19"/>
      <c r="Z28" s="53"/>
      <c r="AA28" s="19"/>
      <c r="AB28" s="19"/>
      <c r="AC28" s="19"/>
      <c r="AD28" s="19"/>
      <c r="AE28" s="19"/>
    </row>
    <row r="29" spans="1:31" ht="13.5" customHeight="1">
      <c r="A29" s="19"/>
      <c r="B29" s="54"/>
      <c r="C29" s="19"/>
      <c r="D29" s="19"/>
      <c r="E29" s="19"/>
      <c r="F29" s="19"/>
      <c r="G29" s="19"/>
      <c r="H29" s="19"/>
      <c r="I29" s="19"/>
      <c r="J29" s="55"/>
      <c r="K29" s="56"/>
      <c r="L29" s="19"/>
      <c r="M29" s="57"/>
      <c r="N29" s="51"/>
      <c r="O29" s="51"/>
      <c r="P29" s="57"/>
      <c r="Q29" s="51"/>
      <c r="R29" s="51"/>
      <c r="S29" s="51"/>
      <c r="T29" s="51"/>
      <c r="U29" s="52"/>
      <c r="V29" s="52"/>
      <c r="W29" s="19"/>
      <c r="X29" s="51"/>
      <c r="Y29" s="19"/>
      <c r="Z29" s="53"/>
      <c r="AA29" s="19"/>
      <c r="AB29" s="19"/>
      <c r="AC29" s="19"/>
      <c r="AD29" s="19"/>
      <c r="AE29" s="19"/>
    </row>
    <row r="30" spans="1:31" ht="13.5" customHeight="1">
      <c r="A30" s="19"/>
      <c r="B30" s="54"/>
      <c r="C30" s="19"/>
      <c r="D30" s="19"/>
      <c r="E30" s="19"/>
      <c r="F30" s="19"/>
      <c r="G30" s="19"/>
      <c r="H30" s="19"/>
      <c r="I30" s="19"/>
      <c r="J30" s="55"/>
      <c r="K30" s="56"/>
      <c r="L30" s="19"/>
      <c r="M30" s="57"/>
      <c r="N30" s="51"/>
      <c r="O30" s="51"/>
      <c r="P30" s="57"/>
      <c r="Q30" s="51"/>
      <c r="R30" s="51"/>
      <c r="S30" s="51"/>
      <c r="T30" s="51"/>
      <c r="U30" s="52"/>
      <c r="V30" s="52"/>
      <c r="W30" s="19"/>
      <c r="X30" s="51"/>
      <c r="Y30" s="19"/>
      <c r="Z30" s="53"/>
      <c r="AA30" s="19"/>
      <c r="AB30" s="19"/>
      <c r="AC30" s="19"/>
      <c r="AD30" s="19"/>
      <c r="AE30" s="19"/>
    </row>
    <row r="31" spans="1:31" ht="13.5" customHeight="1">
      <c r="A31" s="19"/>
      <c r="B31" s="54"/>
      <c r="C31" s="19"/>
      <c r="D31" s="19"/>
      <c r="E31" s="19"/>
      <c r="F31" s="19"/>
      <c r="G31" s="19"/>
      <c r="H31" s="19"/>
      <c r="I31" s="19"/>
      <c r="J31" s="55"/>
      <c r="K31" s="56"/>
      <c r="L31" s="19"/>
      <c r="M31" s="57"/>
      <c r="N31" s="51"/>
      <c r="O31" s="51"/>
      <c r="P31" s="57"/>
      <c r="Q31" s="51"/>
      <c r="R31" s="51"/>
      <c r="S31" s="51"/>
      <c r="T31" s="51"/>
      <c r="U31" s="52"/>
      <c r="V31" s="52"/>
      <c r="W31" s="19"/>
      <c r="X31" s="51"/>
      <c r="Y31" s="19"/>
      <c r="Z31" s="53"/>
      <c r="AA31" s="19"/>
      <c r="AB31" s="19"/>
      <c r="AC31" s="19"/>
      <c r="AD31" s="19"/>
      <c r="AE31" s="19"/>
    </row>
    <row r="32" spans="1:31" ht="13.5" customHeight="1">
      <c r="A32" s="19"/>
      <c r="B32" s="54"/>
      <c r="C32" s="19"/>
      <c r="D32" s="19"/>
      <c r="E32" s="19"/>
      <c r="F32" s="19"/>
      <c r="G32" s="19"/>
      <c r="H32" s="19"/>
      <c r="I32" s="19"/>
      <c r="J32" s="55"/>
      <c r="K32" s="56"/>
      <c r="L32" s="19"/>
      <c r="M32" s="57"/>
      <c r="N32" s="51"/>
      <c r="O32" s="51"/>
      <c r="P32" s="57"/>
      <c r="Q32" s="51"/>
      <c r="R32" s="51"/>
      <c r="S32" s="51"/>
      <c r="T32" s="51"/>
      <c r="U32" s="52"/>
      <c r="V32" s="52"/>
      <c r="W32" s="19"/>
      <c r="X32" s="51"/>
      <c r="Y32" s="19"/>
      <c r="Z32" s="53"/>
      <c r="AA32" s="19"/>
      <c r="AB32" s="19"/>
      <c r="AC32" s="19"/>
      <c r="AD32" s="19"/>
      <c r="AE32" s="19"/>
    </row>
    <row r="33" spans="1:31" ht="13.5" customHeight="1">
      <c r="A33" s="19"/>
      <c r="B33" s="54"/>
      <c r="C33" s="19"/>
      <c r="D33" s="19"/>
      <c r="E33" s="19"/>
      <c r="F33" s="19"/>
      <c r="G33" s="19"/>
      <c r="H33" s="19"/>
      <c r="I33" s="19"/>
      <c r="J33" s="55"/>
      <c r="K33" s="56"/>
      <c r="L33" s="19"/>
      <c r="M33" s="57"/>
      <c r="N33" s="51"/>
      <c r="O33" s="19"/>
      <c r="P33" s="57"/>
      <c r="Q33" s="51"/>
      <c r="R33" s="51"/>
      <c r="S33" s="51"/>
      <c r="T33" s="19"/>
      <c r="U33" s="52"/>
      <c r="V33" s="52"/>
      <c r="W33" s="19"/>
      <c r="X33" s="51"/>
      <c r="Y33" s="19"/>
      <c r="Z33" s="53"/>
      <c r="AA33" s="19"/>
      <c r="AB33" s="19"/>
      <c r="AC33" s="19"/>
      <c r="AD33" s="19"/>
      <c r="AE33" s="19"/>
    </row>
    <row r="34" spans="1:31" ht="13.5" customHeight="1">
      <c r="A34" s="19"/>
      <c r="B34" s="54"/>
      <c r="C34" s="19"/>
      <c r="D34" s="19"/>
      <c r="E34" s="19"/>
      <c r="F34" s="19"/>
      <c r="G34" s="19"/>
      <c r="H34" s="19"/>
      <c r="I34" s="19"/>
      <c r="J34" s="55"/>
      <c r="K34" s="56"/>
      <c r="L34" s="19"/>
      <c r="M34" s="57"/>
      <c r="N34" s="51"/>
      <c r="O34" s="19"/>
      <c r="P34" s="57"/>
      <c r="Q34" s="51"/>
      <c r="R34" s="51"/>
      <c r="S34" s="51"/>
      <c r="T34" s="19"/>
      <c r="U34" s="52"/>
      <c r="V34" s="52"/>
      <c r="W34" s="19"/>
      <c r="X34" s="51"/>
      <c r="Y34" s="19"/>
      <c r="Z34" s="53"/>
      <c r="AA34" s="19"/>
      <c r="AB34" s="19"/>
      <c r="AC34" s="19"/>
      <c r="AD34" s="19"/>
      <c r="AE34" s="19"/>
    </row>
    <row r="35" spans="1:31" ht="13.5" customHeight="1">
      <c r="A35" s="19"/>
      <c r="B35" s="54"/>
      <c r="C35" s="19"/>
      <c r="D35" s="19"/>
      <c r="E35" s="19"/>
      <c r="F35" s="19"/>
      <c r="G35" s="19"/>
      <c r="H35" s="19"/>
      <c r="I35" s="19"/>
      <c r="J35" s="55"/>
      <c r="K35" s="58"/>
      <c r="L35" s="19"/>
      <c r="M35" s="57"/>
      <c r="N35" s="51"/>
      <c r="O35" s="51"/>
      <c r="P35" s="57"/>
      <c r="Q35" s="51"/>
      <c r="R35" s="51"/>
      <c r="S35" s="51"/>
      <c r="T35" s="51"/>
      <c r="U35" s="52"/>
      <c r="V35" s="52"/>
      <c r="W35" s="19"/>
      <c r="X35" s="51"/>
      <c r="Y35" s="19"/>
      <c r="Z35" s="53"/>
      <c r="AA35" s="19"/>
      <c r="AB35" s="19"/>
      <c r="AC35" s="19"/>
      <c r="AD35" s="19"/>
      <c r="AE35" s="19"/>
    </row>
    <row r="36" spans="1:31" ht="13.5" customHeight="1">
      <c r="A36" s="19"/>
      <c r="B36" s="54"/>
      <c r="C36" s="19"/>
      <c r="D36" s="19"/>
      <c r="E36" s="19"/>
      <c r="F36" s="19"/>
      <c r="G36" s="19"/>
      <c r="H36" s="19"/>
      <c r="I36" s="19"/>
      <c r="J36" s="55"/>
      <c r="K36" s="58"/>
      <c r="L36" s="19"/>
      <c r="M36" s="57"/>
      <c r="N36" s="51"/>
      <c r="O36" s="51"/>
      <c r="P36" s="57"/>
      <c r="Q36" s="51"/>
      <c r="R36" s="51"/>
      <c r="S36" s="51"/>
      <c r="T36" s="51"/>
      <c r="U36" s="52"/>
      <c r="V36" s="52"/>
      <c r="W36" s="19"/>
      <c r="X36" s="51"/>
      <c r="Y36" s="19"/>
      <c r="Z36" s="53"/>
      <c r="AA36" s="19"/>
      <c r="AB36" s="19"/>
      <c r="AC36" s="19"/>
      <c r="AD36" s="19"/>
      <c r="AE36" s="19"/>
    </row>
    <row r="37" spans="1:31" ht="13.5" customHeight="1">
      <c r="A37" s="19"/>
      <c r="B37" s="54"/>
      <c r="C37" s="19"/>
      <c r="D37" s="19"/>
      <c r="E37" s="19"/>
      <c r="F37" s="19"/>
      <c r="G37" s="19"/>
      <c r="H37" s="19"/>
      <c r="I37" s="19"/>
      <c r="J37" s="55"/>
      <c r="K37" s="58"/>
      <c r="L37" s="19"/>
      <c r="M37" s="57"/>
      <c r="N37" s="51"/>
      <c r="O37" s="51"/>
      <c r="P37" s="57"/>
      <c r="Q37" s="51"/>
      <c r="R37" s="51"/>
      <c r="S37" s="51"/>
      <c r="T37" s="51"/>
      <c r="U37" s="52"/>
      <c r="V37" s="52"/>
      <c r="W37" s="19"/>
      <c r="X37" s="51"/>
      <c r="Y37" s="19"/>
      <c r="Z37" s="53"/>
      <c r="AA37" s="19"/>
      <c r="AB37" s="19"/>
      <c r="AC37" s="19"/>
      <c r="AD37" s="19"/>
      <c r="AE37" s="19"/>
    </row>
    <row r="38" spans="1:31" ht="13.5" customHeight="1">
      <c r="A38" s="19"/>
      <c r="B38" s="54"/>
      <c r="C38" s="19"/>
      <c r="D38" s="19"/>
      <c r="E38" s="19"/>
      <c r="F38" s="19"/>
      <c r="G38" s="19"/>
      <c r="H38" s="19"/>
      <c r="I38" s="19"/>
      <c r="J38" s="55"/>
      <c r="K38" s="58"/>
      <c r="L38" s="19"/>
      <c r="M38" s="57"/>
      <c r="N38" s="51"/>
      <c r="O38" s="51"/>
      <c r="P38" s="57"/>
      <c r="Q38" s="51"/>
      <c r="R38" s="51"/>
      <c r="S38" s="51"/>
      <c r="T38" s="51"/>
      <c r="U38" s="52"/>
      <c r="V38" s="52"/>
      <c r="W38" s="19"/>
      <c r="X38" s="51"/>
      <c r="Y38" s="19"/>
      <c r="Z38" s="53"/>
      <c r="AA38" s="19"/>
      <c r="AB38" s="19"/>
      <c r="AC38" s="19"/>
      <c r="AD38" s="19"/>
      <c r="AE38" s="19"/>
    </row>
    <row r="39" spans="1:31" ht="13.5" customHeight="1">
      <c r="A39" s="19"/>
      <c r="B39" s="54"/>
      <c r="C39" s="19"/>
      <c r="D39" s="19"/>
      <c r="E39" s="19"/>
      <c r="F39" s="19"/>
      <c r="G39" s="19"/>
      <c r="H39" s="19"/>
      <c r="I39" s="19"/>
      <c r="J39" s="55"/>
      <c r="K39" s="58"/>
      <c r="L39" s="19"/>
      <c r="M39" s="57"/>
      <c r="N39" s="51"/>
      <c r="O39" s="51"/>
      <c r="P39" s="57"/>
      <c r="Q39" s="51"/>
      <c r="R39" s="51"/>
      <c r="S39" s="51"/>
      <c r="T39" s="51"/>
      <c r="U39" s="52"/>
      <c r="V39" s="52"/>
      <c r="W39" s="19"/>
      <c r="X39" s="51"/>
      <c r="Y39" s="19"/>
      <c r="Z39" s="53"/>
      <c r="AA39" s="19"/>
      <c r="AB39" s="19"/>
      <c r="AC39" s="19"/>
      <c r="AD39" s="19"/>
      <c r="AE39" s="19"/>
    </row>
    <row r="40" spans="1:31" ht="13.5" customHeight="1">
      <c r="A40" s="19"/>
      <c r="B40" s="54"/>
      <c r="C40" s="19"/>
      <c r="D40" s="19"/>
      <c r="E40" s="19"/>
      <c r="F40" s="19"/>
      <c r="G40" s="19"/>
      <c r="H40" s="19"/>
      <c r="I40" s="19"/>
      <c r="J40" s="55"/>
      <c r="K40" s="58"/>
      <c r="L40" s="19"/>
      <c r="M40" s="57"/>
      <c r="N40" s="51"/>
      <c r="O40" s="51"/>
      <c r="P40" s="57"/>
      <c r="Q40" s="51"/>
      <c r="R40" s="51"/>
      <c r="S40" s="51"/>
      <c r="T40" s="51"/>
      <c r="U40" s="52"/>
      <c r="V40" s="52"/>
      <c r="W40" s="19"/>
      <c r="X40" s="51"/>
      <c r="Y40" s="19"/>
      <c r="Z40" s="53"/>
      <c r="AA40" s="19"/>
      <c r="AB40" s="19"/>
      <c r="AC40" s="19"/>
      <c r="AD40" s="19"/>
      <c r="AE40" s="19"/>
    </row>
    <row r="41" spans="1:31" ht="13.5" customHeight="1">
      <c r="A41" s="19"/>
      <c r="B41" s="54"/>
      <c r="C41" s="19"/>
      <c r="D41" s="19"/>
      <c r="E41" s="19"/>
      <c r="F41" s="19"/>
      <c r="G41" s="19"/>
      <c r="H41" s="19"/>
      <c r="I41" s="19"/>
      <c r="J41" s="55"/>
      <c r="K41" s="58"/>
      <c r="L41" s="19"/>
      <c r="M41" s="57"/>
      <c r="N41" s="51"/>
      <c r="O41" s="51"/>
      <c r="P41" s="57"/>
      <c r="Q41" s="51"/>
      <c r="R41" s="51"/>
      <c r="S41" s="51"/>
      <c r="T41" s="51"/>
      <c r="U41" s="52"/>
      <c r="V41" s="52"/>
      <c r="W41" s="19"/>
      <c r="X41" s="51"/>
      <c r="Y41" s="19"/>
      <c r="Z41" s="53"/>
      <c r="AA41" s="19"/>
      <c r="AB41" s="19"/>
      <c r="AC41" s="19"/>
      <c r="AD41" s="19"/>
      <c r="AE41" s="19"/>
    </row>
    <row r="42" spans="1:31" ht="13.5" customHeight="1">
      <c r="A42" s="19"/>
      <c r="B42" s="54"/>
      <c r="C42" s="19"/>
      <c r="D42" s="19"/>
      <c r="E42" s="19"/>
      <c r="F42" s="19"/>
      <c r="G42" s="19"/>
      <c r="H42" s="19"/>
      <c r="I42" s="19"/>
      <c r="J42" s="55"/>
      <c r="K42" s="58"/>
      <c r="L42" s="19"/>
      <c r="M42" s="57"/>
      <c r="N42" s="51"/>
      <c r="O42" s="51"/>
      <c r="P42" s="57"/>
      <c r="Q42" s="51"/>
      <c r="R42" s="51"/>
      <c r="S42" s="51"/>
      <c r="T42" s="51"/>
      <c r="U42" s="52"/>
      <c r="V42" s="52"/>
      <c r="W42" s="19"/>
      <c r="X42" s="51"/>
      <c r="Y42" s="19"/>
      <c r="Z42" s="53"/>
      <c r="AA42" s="19"/>
      <c r="AB42" s="19"/>
      <c r="AC42" s="19"/>
      <c r="AD42" s="19"/>
      <c r="AE42" s="19"/>
    </row>
    <row r="43" spans="1:31" ht="13.5" customHeight="1">
      <c r="A43" s="19"/>
      <c r="B43" s="54"/>
      <c r="C43" s="19"/>
      <c r="D43" s="19"/>
      <c r="E43" s="19"/>
      <c r="F43" s="19"/>
      <c r="G43" s="19"/>
      <c r="H43" s="19"/>
      <c r="I43" s="19"/>
      <c r="J43" s="55"/>
      <c r="K43" s="58"/>
      <c r="L43" s="19"/>
      <c r="M43" s="57"/>
      <c r="N43" s="51"/>
      <c r="O43" s="51"/>
      <c r="P43" s="57"/>
      <c r="Q43" s="51"/>
      <c r="R43" s="51"/>
      <c r="S43" s="51"/>
      <c r="T43" s="51"/>
      <c r="U43" s="52"/>
      <c r="V43" s="52"/>
      <c r="W43" s="19"/>
      <c r="X43" s="51"/>
      <c r="Y43" s="19"/>
      <c r="Z43" s="53"/>
      <c r="AA43" s="19"/>
      <c r="AB43" s="19"/>
      <c r="AC43" s="19"/>
      <c r="AD43" s="19"/>
      <c r="AE43" s="19"/>
    </row>
    <row r="44" spans="1:31" ht="13.5" customHeight="1">
      <c r="A44" s="19"/>
      <c r="B44" s="54"/>
      <c r="C44" s="19"/>
      <c r="D44" s="19"/>
      <c r="E44" s="19"/>
      <c r="F44" s="19"/>
      <c r="G44" s="19"/>
      <c r="H44" s="19"/>
      <c r="I44" s="19"/>
      <c r="J44" s="55"/>
      <c r="K44" s="58"/>
      <c r="L44" s="19"/>
      <c r="M44" s="57"/>
      <c r="N44" s="51"/>
      <c r="O44" s="51"/>
      <c r="P44" s="57"/>
      <c r="Q44" s="51"/>
      <c r="R44" s="51"/>
      <c r="S44" s="51"/>
      <c r="T44" s="51"/>
      <c r="U44" s="52"/>
      <c r="V44" s="52"/>
      <c r="W44" s="19"/>
      <c r="X44" s="51"/>
      <c r="Y44" s="19"/>
      <c r="Z44" s="53"/>
      <c r="AA44" s="19"/>
      <c r="AB44" s="19"/>
      <c r="AC44" s="19"/>
      <c r="AD44" s="19"/>
      <c r="AE44" s="19"/>
    </row>
    <row r="45" spans="1:31" ht="13.5" customHeight="1">
      <c r="A45" s="19"/>
      <c r="B45" s="54"/>
      <c r="C45" s="19"/>
      <c r="D45" s="19"/>
      <c r="E45" s="19"/>
      <c r="F45" s="19"/>
      <c r="G45" s="19"/>
      <c r="H45" s="19"/>
      <c r="I45" s="19"/>
      <c r="J45" s="55"/>
      <c r="K45" s="58"/>
      <c r="L45" s="19"/>
      <c r="M45" s="57"/>
      <c r="N45" s="51"/>
      <c r="O45" s="51"/>
      <c r="P45" s="57"/>
      <c r="Q45" s="51"/>
      <c r="R45" s="51"/>
      <c r="S45" s="51"/>
      <c r="T45" s="51"/>
      <c r="U45" s="52"/>
      <c r="V45" s="52"/>
      <c r="W45" s="19"/>
      <c r="X45" s="51"/>
      <c r="Y45" s="19"/>
      <c r="Z45" s="53"/>
      <c r="AA45" s="19"/>
      <c r="AB45" s="19"/>
      <c r="AC45" s="19"/>
      <c r="AD45" s="19"/>
      <c r="AE45" s="19"/>
    </row>
    <row r="46" spans="1:31" ht="13.5" customHeight="1">
      <c r="A46" s="19"/>
      <c r="B46" s="54"/>
      <c r="C46" s="19"/>
      <c r="D46" s="19"/>
      <c r="E46" s="19"/>
      <c r="F46" s="19"/>
      <c r="G46" s="19"/>
      <c r="H46" s="19"/>
      <c r="I46" s="19"/>
      <c r="J46" s="55"/>
      <c r="K46" s="58"/>
      <c r="L46" s="19"/>
      <c r="M46" s="57"/>
      <c r="N46" s="51"/>
      <c r="O46" s="51"/>
      <c r="P46" s="57"/>
      <c r="Q46" s="51"/>
      <c r="R46" s="51"/>
      <c r="S46" s="51"/>
      <c r="T46" s="51"/>
      <c r="U46" s="52"/>
      <c r="V46" s="52"/>
      <c r="W46" s="19"/>
      <c r="X46" s="51"/>
      <c r="Y46" s="19"/>
      <c r="Z46" s="53"/>
      <c r="AA46" s="19"/>
      <c r="AB46" s="19"/>
      <c r="AC46" s="19"/>
      <c r="AD46" s="19"/>
      <c r="AE46" s="19"/>
    </row>
    <row r="47" spans="1:31" ht="13.5" customHeight="1">
      <c r="A47" s="19"/>
      <c r="B47" s="54"/>
      <c r="C47" s="19"/>
      <c r="D47" s="19"/>
      <c r="E47" s="19"/>
      <c r="F47" s="19"/>
      <c r="G47" s="19"/>
      <c r="H47" s="19"/>
      <c r="I47" s="19"/>
      <c r="J47" s="55"/>
      <c r="K47" s="58"/>
      <c r="L47" s="19"/>
      <c r="M47" s="57"/>
      <c r="N47" s="51"/>
      <c r="O47" s="19"/>
      <c r="P47" s="57"/>
      <c r="Q47" s="51"/>
      <c r="R47" s="51"/>
      <c r="S47" s="51"/>
      <c r="T47" s="19"/>
      <c r="U47" s="52"/>
      <c r="V47" s="52"/>
      <c r="W47" s="19"/>
      <c r="X47" s="51"/>
      <c r="Y47" s="19"/>
      <c r="Z47" s="53"/>
      <c r="AA47" s="19"/>
      <c r="AB47" s="19"/>
      <c r="AC47" s="19"/>
      <c r="AD47" s="19"/>
      <c r="AE47" s="19"/>
    </row>
    <row r="48" spans="1:31" ht="13.5" customHeight="1">
      <c r="A48" s="19"/>
      <c r="B48" s="54"/>
      <c r="C48" s="19"/>
      <c r="D48" s="19"/>
      <c r="E48" s="19"/>
      <c r="F48" s="19"/>
      <c r="G48" s="19"/>
      <c r="H48" s="19"/>
      <c r="I48" s="19"/>
      <c r="J48" s="55"/>
      <c r="K48" s="58"/>
      <c r="L48" s="19"/>
      <c r="M48" s="57"/>
      <c r="N48" s="51"/>
      <c r="O48" s="19"/>
      <c r="P48" s="57"/>
      <c r="Q48" s="51"/>
      <c r="R48" s="51"/>
      <c r="S48" s="51"/>
      <c r="T48" s="19"/>
      <c r="U48" s="52"/>
      <c r="V48" s="52"/>
      <c r="W48" s="19"/>
      <c r="X48" s="51"/>
      <c r="Y48" s="19"/>
      <c r="Z48" s="53"/>
      <c r="AA48" s="19"/>
      <c r="AB48" s="19"/>
      <c r="AC48" s="19"/>
      <c r="AD48" s="19"/>
      <c r="AE48" s="19"/>
    </row>
    <row r="49" spans="1:31" ht="13.5" customHeight="1">
      <c r="A49" s="19"/>
      <c r="B49" s="54"/>
      <c r="C49" s="19"/>
      <c r="D49" s="19"/>
      <c r="E49" s="19"/>
      <c r="F49" s="19"/>
      <c r="G49" s="19"/>
      <c r="H49" s="19"/>
      <c r="I49" s="19"/>
      <c r="J49" s="55"/>
      <c r="K49" s="58"/>
      <c r="L49" s="19"/>
      <c r="M49" s="57"/>
      <c r="N49" s="51"/>
      <c r="O49" s="19"/>
      <c r="P49" s="57"/>
      <c r="Q49" s="51"/>
      <c r="R49" s="51"/>
      <c r="S49" s="51"/>
      <c r="T49" s="19"/>
      <c r="U49" s="52"/>
      <c r="V49" s="52"/>
      <c r="W49" s="19"/>
      <c r="X49" s="51"/>
      <c r="Y49" s="19"/>
      <c r="Z49" s="53"/>
      <c r="AA49" s="19"/>
      <c r="AB49" s="19"/>
      <c r="AC49" s="19"/>
      <c r="AD49" s="19"/>
      <c r="AE49" s="19"/>
    </row>
    <row r="50" spans="1:31" ht="13.5" customHeight="1">
      <c r="A50" s="19"/>
      <c r="B50" s="54"/>
      <c r="C50" s="19"/>
      <c r="D50" s="19"/>
      <c r="E50" s="19"/>
      <c r="F50" s="19"/>
      <c r="G50" s="19"/>
      <c r="H50" s="19"/>
      <c r="I50" s="19"/>
      <c r="J50" s="55"/>
      <c r="K50" s="58"/>
      <c r="L50" s="19"/>
      <c r="M50" s="57"/>
      <c r="N50" s="51"/>
      <c r="O50" s="19"/>
      <c r="P50" s="57"/>
      <c r="Q50" s="51"/>
      <c r="R50" s="51"/>
      <c r="S50" s="51"/>
      <c r="T50" s="19"/>
      <c r="U50" s="52"/>
      <c r="V50" s="52"/>
      <c r="W50" s="19"/>
      <c r="X50" s="51"/>
      <c r="Y50" s="19"/>
      <c r="Z50" s="53"/>
      <c r="AA50" s="19"/>
      <c r="AB50" s="19"/>
      <c r="AC50" s="19"/>
      <c r="AD50" s="19"/>
      <c r="AE50" s="19"/>
    </row>
    <row r="51" spans="1:31" ht="13.5" customHeight="1">
      <c r="A51" s="19"/>
      <c r="B51" s="54"/>
      <c r="C51" s="19"/>
      <c r="D51" s="19"/>
      <c r="E51" s="19"/>
      <c r="F51" s="19"/>
      <c r="G51" s="19"/>
      <c r="H51" s="19"/>
      <c r="I51" s="19"/>
      <c r="J51" s="55"/>
      <c r="K51" s="58"/>
      <c r="L51" s="19"/>
      <c r="M51" s="57"/>
      <c r="N51" s="51"/>
      <c r="O51" s="19"/>
      <c r="P51" s="57"/>
      <c r="Q51" s="51"/>
      <c r="R51" s="51"/>
      <c r="S51" s="51"/>
      <c r="T51" s="19"/>
      <c r="U51" s="52"/>
      <c r="V51" s="52"/>
      <c r="W51" s="19"/>
      <c r="X51" s="51"/>
      <c r="Y51" s="19"/>
      <c r="Z51" s="53"/>
      <c r="AA51" s="19"/>
      <c r="AB51" s="19"/>
      <c r="AC51" s="19"/>
      <c r="AD51" s="19"/>
      <c r="AE51" s="19"/>
    </row>
    <row r="52" spans="1:31" ht="13.5" customHeight="1">
      <c r="A52" s="19"/>
      <c r="B52" s="19"/>
      <c r="C52" s="19"/>
      <c r="D52" s="19"/>
      <c r="E52" s="19"/>
      <c r="F52" s="19"/>
      <c r="G52" s="19"/>
      <c r="H52" s="19"/>
      <c r="I52" s="19"/>
      <c r="J52" s="5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</row>
    <row r="53" spans="1:31" ht="13.5" customHeight="1">
      <c r="A53" s="19"/>
      <c r="B53" s="19"/>
      <c r="C53" s="19"/>
      <c r="D53" s="19"/>
      <c r="E53" s="19"/>
      <c r="F53" s="19"/>
      <c r="G53" s="19"/>
      <c r="H53" s="19"/>
      <c r="I53" s="19"/>
      <c r="J53" s="5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</row>
    <row r="54" spans="1:31" ht="13.5" customHeight="1">
      <c r="A54" s="19"/>
      <c r="B54" s="19"/>
      <c r="C54" s="19"/>
      <c r="D54" s="19"/>
      <c r="E54" s="19"/>
      <c r="F54" s="19"/>
      <c r="G54" s="19"/>
      <c r="H54" s="19"/>
      <c r="I54" s="19"/>
      <c r="J54" s="5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</row>
    <row r="55" spans="1:31" ht="13.5" customHeight="1">
      <c r="A55" s="19"/>
      <c r="B55" s="19"/>
      <c r="C55" s="19"/>
      <c r="D55" s="19"/>
      <c r="E55" s="19"/>
      <c r="F55" s="19"/>
      <c r="G55" s="19"/>
      <c r="H55" s="19"/>
      <c r="I55" s="19"/>
      <c r="J55" s="5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</row>
    <row r="56" spans="1:31" ht="13.5" customHeight="1">
      <c r="A56" s="19"/>
      <c r="B56" s="19"/>
      <c r="C56" s="19"/>
      <c r="D56" s="19"/>
      <c r="E56" s="19"/>
      <c r="F56" s="19"/>
      <c r="G56" s="19"/>
      <c r="H56" s="19"/>
      <c r="I56" s="19"/>
      <c r="J56" s="5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</row>
    <row r="57" spans="1:31" ht="13.5" customHeight="1">
      <c r="A57" s="19"/>
      <c r="B57" s="19"/>
      <c r="C57" s="19"/>
      <c r="D57" s="19"/>
      <c r="E57" s="19"/>
      <c r="F57" s="19"/>
      <c r="G57" s="19"/>
      <c r="H57" s="19"/>
      <c r="I57" s="19"/>
      <c r="J57" s="5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</row>
    <row r="58" spans="1:31" ht="13.5" customHeight="1">
      <c r="A58" s="19"/>
      <c r="B58" s="19"/>
      <c r="C58" s="19"/>
      <c r="D58" s="19"/>
      <c r="E58" s="19"/>
      <c r="F58" s="19"/>
      <c r="G58" s="19"/>
      <c r="H58" s="19"/>
      <c r="I58" s="19"/>
      <c r="J58" s="5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</row>
    <row r="59" spans="1:31" ht="13.5" customHeight="1">
      <c r="A59" s="19"/>
      <c r="B59" s="19"/>
      <c r="C59" s="19"/>
      <c r="D59" s="19"/>
      <c r="E59" s="19"/>
      <c r="F59" s="19"/>
      <c r="G59" s="19"/>
      <c r="H59" s="19"/>
      <c r="I59" s="19"/>
      <c r="J59" s="5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</row>
    <row r="60" spans="1:31" ht="13.5" customHeight="1">
      <c r="A60" s="19"/>
      <c r="B60" s="19"/>
      <c r="C60" s="19"/>
      <c r="D60" s="19"/>
      <c r="E60" s="19"/>
      <c r="F60" s="19"/>
      <c r="G60" s="19"/>
      <c r="H60" s="19"/>
      <c r="I60" s="19"/>
      <c r="J60" s="5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</row>
    <row r="61" spans="1:31" ht="13.5" customHeight="1">
      <c r="A61" s="19"/>
      <c r="B61" s="19"/>
      <c r="C61" s="19"/>
      <c r="D61" s="19"/>
      <c r="E61" s="19"/>
      <c r="F61" s="19"/>
      <c r="G61" s="19"/>
      <c r="H61" s="19"/>
      <c r="I61" s="19"/>
      <c r="J61" s="5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</row>
    <row r="62" spans="1:31" ht="13.5" customHeight="1">
      <c r="A62" s="19"/>
      <c r="B62" s="19"/>
      <c r="C62" s="19"/>
      <c r="D62" s="19"/>
      <c r="E62" s="19"/>
      <c r="F62" s="19"/>
      <c r="G62" s="19"/>
      <c r="H62" s="19"/>
      <c r="I62" s="19"/>
      <c r="J62" s="5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</row>
    <row r="63" spans="1:31" ht="13.5" customHeight="1">
      <c r="A63" s="19"/>
      <c r="B63" s="19"/>
      <c r="C63" s="19"/>
      <c r="D63" s="19"/>
      <c r="E63" s="19"/>
      <c r="F63" s="19"/>
      <c r="G63" s="19"/>
      <c r="H63" s="19"/>
      <c r="I63" s="19"/>
      <c r="J63" s="5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</row>
    <row r="64" spans="1:31" ht="13.5" customHeight="1">
      <c r="A64" s="19"/>
      <c r="B64" s="19"/>
      <c r="C64" s="19"/>
      <c r="D64" s="19"/>
      <c r="E64" s="19"/>
      <c r="F64" s="19"/>
      <c r="G64" s="19"/>
      <c r="H64" s="19"/>
      <c r="I64" s="19"/>
      <c r="J64" s="5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</row>
    <row r="65" spans="1:31" ht="13.5" customHeight="1">
      <c r="A65" s="19"/>
      <c r="B65" s="19"/>
      <c r="C65" s="19"/>
      <c r="D65" s="19"/>
      <c r="E65" s="19"/>
      <c r="F65" s="19"/>
      <c r="G65" s="19"/>
      <c r="H65" s="19"/>
      <c r="I65" s="19"/>
      <c r="J65" s="5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</row>
    <row r="66" spans="1:31" ht="13.5" customHeight="1">
      <c r="A66" s="19"/>
      <c r="B66" s="19"/>
      <c r="C66" s="19"/>
      <c r="D66" s="19"/>
      <c r="E66" s="19"/>
      <c r="F66" s="19"/>
      <c r="G66" s="19"/>
      <c r="H66" s="19"/>
      <c r="I66" s="19"/>
      <c r="J66" s="5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</row>
    <row r="67" spans="1:31" ht="13.5" customHeight="1">
      <c r="A67" s="19"/>
      <c r="B67" s="19"/>
      <c r="C67" s="19"/>
      <c r="D67" s="19"/>
      <c r="E67" s="19"/>
      <c r="F67" s="19"/>
      <c r="G67" s="19"/>
      <c r="H67" s="19"/>
      <c r="I67" s="19"/>
      <c r="J67" s="5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</row>
    <row r="68" spans="1:31" ht="13.5" customHeight="1">
      <c r="A68" s="19"/>
      <c r="B68" s="19"/>
      <c r="C68" s="19"/>
      <c r="D68" s="19"/>
      <c r="E68" s="19"/>
      <c r="F68" s="19"/>
      <c r="G68" s="19"/>
      <c r="H68" s="19"/>
      <c r="I68" s="19"/>
      <c r="J68" s="5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</row>
    <row r="69" spans="1:31" ht="13.5" customHeight="1">
      <c r="A69" s="19"/>
      <c r="B69" s="19"/>
      <c r="C69" s="19"/>
      <c r="D69" s="19"/>
      <c r="E69" s="19"/>
      <c r="F69" s="19"/>
      <c r="G69" s="19"/>
      <c r="H69" s="19"/>
      <c r="I69" s="19"/>
      <c r="J69" s="5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</row>
    <row r="70" spans="1:31" ht="13.5" customHeight="1">
      <c r="A70" s="19"/>
      <c r="B70" s="19"/>
      <c r="C70" s="19"/>
      <c r="D70" s="19"/>
      <c r="E70" s="19"/>
      <c r="F70" s="19"/>
      <c r="G70" s="19"/>
      <c r="H70" s="19"/>
      <c r="I70" s="19"/>
      <c r="J70" s="5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</row>
    <row r="71" spans="1:31" ht="13.5" customHeight="1">
      <c r="A71" s="19"/>
      <c r="B71" s="19"/>
      <c r="C71" s="19"/>
      <c r="D71" s="19"/>
      <c r="E71" s="19"/>
      <c r="F71" s="19"/>
      <c r="G71" s="19"/>
      <c r="H71" s="19"/>
      <c r="I71" s="19"/>
      <c r="J71" s="5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</row>
    <row r="72" spans="1:31" ht="13.5" customHeight="1">
      <c r="A72" s="19"/>
      <c r="B72" s="19"/>
      <c r="C72" s="19"/>
      <c r="D72" s="19"/>
      <c r="E72" s="19"/>
      <c r="F72" s="19"/>
      <c r="G72" s="19"/>
      <c r="H72" s="19"/>
      <c r="I72" s="19"/>
      <c r="J72" s="5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</row>
    <row r="73" spans="1:31" ht="13.5" customHeight="1">
      <c r="A73" s="19"/>
      <c r="B73" s="19"/>
      <c r="C73" s="19"/>
      <c r="D73" s="19"/>
      <c r="E73" s="19"/>
      <c r="F73" s="19"/>
      <c r="G73" s="19"/>
      <c r="H73" s="19"/>
      <c r="I73" s="19"/>
      <c r="J73" s="5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</row>
    <row r="74" spans="1:31" ht="13.5" customHeight="1">
      <c r="A74" s="19"/>
      <c r="B74" s="19"/>
      <c r="C74" s="19"/>
      <c r="D74" s="19"/>
      <c r="E74" s="19"/>
      <c r="F74" s="19"/>
      <c r="G74" s="19"/>
      <c r="H74" s="19"/>
      <c r="I74" s="19"/>
      <c r="J74" s="5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</row>
    <row r="75" spans="1:31" ht="13.5" customHeight="1">
      <c r="A75" s="19"/>
      <c r="B75" s="19"/>
      <c r="C75" s="19"/>
      <c r="D75" s="19"/>
      <c r="E75" s="19"/>
      <c r="F75" s="19"/>
      <c r="G75" s="19"/>
      <c r="H75" s="19"/>
      <c r="I75" s="19"/>
      <c r="J75" s="5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</row>
    <row r="76" spans="1:31" ht="13.5" customHeight="1">
      <c r="A76" s="19"/>
      <c r="B76" s="19"/>
      <c r="C76" s="19"/>
      <c r="D76" s="19"/>
      <c r="E76" s="19"/>
      <c r="F76" s="19"/>
      <c r="G76" s="19"/>
      <c r="H76" s="19"/>
      <c r="I76" s="19"/>
      <c r="J76" s="5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</row>
    <row r="77" spans="1:31" ht="13.5" customHeight="1">
      <c r="A77" s="19"/>
      <c r="B77" s="19"/>
      <c r="C77" s="19"/>
      <c r="D77" s="19"/>
      <c r="E77" s="19"/>
      <c r="F77" s="19"/>
      <c r="G77" s="19"/>
      <c r="H77" s="19"/>
      <c r="I77" s="19"/>
      <c r="J77" s="5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</row>
    <row r="78" spans="1:31" ht="13.5" customHeight="1">
      <c r="A78" s="19"/>
      <c r="B78" s="19"/>
      <c r="C78" s="19"/>
      <c r="D78" s="19"/>
      <c r="E78" s="19"/>
      <c r="F78" s="19"/>
      <c r="G78" s="19"/>
      <c r="H78" s="19"/>
      <c r="I78" s="19"/>
      <c r="J78" s="5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</row>
    <row r="79" spans="1:31" ht="13.5" customHeight="1">
      <c r="A79" s="19"/>
      <c r="B79" s="19"/>
      <c r="C79" s="19"/>
      <c r="D79" s="19"/>
      <c r="E79" s="19"/>
      <c r="F79" s="19"/>
      <c r="G79" s="19"/>
      <c r="H79" s="19"/>
      <c r="I79" s="19"/>
      <c r="J79" s="5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</row>
    <row r="80" spans="1:31" ht="13.5" customHeight="1">
      <c r="A80" s="19"/>
      <c r="B80" s="19"/>
      <c r="C80" s="19"/>
      <c r="D80" s="19"/>
      <c r="E80" s="19"/>
      <c r="F80" s="19"/>
      <c r="G80" s="19"/>
      <c r="H80" s="19"/>
      <c r="I80" s="19"/>
      <c r="J80" s="5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</row>
    <row r="81" spans="1:31" ht="13.5" customHeight="1">
      <c r="A81" s="19"/>
      <c r="B81" s="19"/>
      <c r="C81" s="19"/>
      <c r="D81" s="19"/>
      <c r="E81" s="19"/>
      <c r="F81" s="19"/>
      <c r="G81" s="19"/>
      <c r="H81" s="19"/>
      <c r="I81" s="19"/>
      <c r="J81" s="5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</row>
    <row r="82" spans="1:31" ht="13.5" customHeight="1">
      <c r="A82" s="19"/>
      <c r="B82" s="19"/>
      <c r="C82" s="19"/>
      <c r="D82" s="19"/>
      <c r="E82" s="19"/>
      <c r="F82" s="19"/>
      <c r="G82" s="19"/>
      <c r="H82" s="19"/>
      <c r="I82" s="19"/>
      <c r="J82" s="5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</row>
    <row r="83" spans="1:31" ht="13.5" customHeight="1">
      <c r="A83" s="19"/>
      <c r="B83" s="19"/>
      <c r="C83" s="19"/>
      <c r="D83" s="19"/>
      <c r="E83" s="19"/>
      <c r="F83" s="19"/>
      <c r="G83" s="19"/>
      <c r="H83" s="19"/>
      <c r="I83" s="19"/>
      <c r="J83" s="5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</row>
    <row r="84" spans="1:31" ht="13.5" customHeight="1">
      <c r="A84" s="19"/>
      <c r="B84" s="19"/>
      <c r="C84" s="19"/>
      <c r="D84" s="19"/>
      <c r="E84" s="19"/>
      <c r="F84" s="19"/>
      <c r="G84" s="19"/>
      <c r="H84" s="19"/>
      <c r="I84" s="19"/>
      <c r="J84" s="5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</row>
    <row r="85" spans="1:31" ht="13.5" customHeight="1">
      <c r="A85" s="19"/>
      <c r="B85" s="19"/>
      <c r="C85" s="19"/>
      <c r="D85" s="19"/>
      <c r="E85" s="19"/>
      <c r="F85" s="19"/>
      <c r="G85" s="19"/>
      <c r="H85" s="19"/>
      <c r="I85" s="19"/>
      <c r="J85" s="5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</row>
    <row r="86" spans="1:31" ht="13.5" customHeight="1">
      <c r="A86" s="19"/>
      <c r="B86" s="19"/>
      <c r="C86" s="19"/>
      <c r="D86" s="19"/>
      <c r="E86" s="19"/>
      <c r="F86" s="19"/>
      <c r="G86" s="19"/>
      <c r="H86" s="19"/>
      <c r="I86" s="19"/>
      <c r="J86" s="5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</row>
    <row r="87" spans="1:31" ht="13.5" customHeight="1">
      <c r="A87" s="19"/>
      <c r="B87" s="19"/>
      <c r="C87" s="19"/>
      <c r="D87" s="19"/>
      <c r="E87" s="19"/>
      <c r="F87" s="19"/>
      <c r="G87" s="19"/>
      <c r="H87" s="19"/>
      <c r="I87" s="19"/>
      <c r="J87" s="5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</row>
    <row r="88" spans="1:31" ht="13.5" customHeight="1">
      <c r="A88" s="19"/>
      <c r="B88" s="19"/>
      <c r="C88" s="19"/>
      <c r="D88" s="19"/>
      <c r="E88" s="19"/>
      <c r="F88" s="19"/>
      <c r="G88" s="19"/>
      <c r="H88" s="19"/>
      <c r="I88" s="19"/>
      <c r="J88" s="5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</row>
    <row r="89" spans="1:31" ht="13.5" customHeight="1">
      <c r="A89" s="19"/>
      <c r="B89" s="19"/>
      <c r="C89" s="19"/>
      <c r="D89" s="19"/>
      <c r="E89" s="19"/>
      <c r="F89" s="19"/>
      <c r="G89" s="19"/>
      <c r="H89" s="19"/>
      <c r="I89" s="19"/>
      <c r="J89" s="5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</row>
    <row r="90" spans="1:31" ht="13.5" customHeight="1">
      <c r="A90" s="19"/>
      <c r="B90" s="19"/>
      <c r="C90" s="19"/>
      <c r="D90" s="19"/>
      <c r="E90" s="19"/>
      <c r="F90" s="19"/>
      <c r="G90" s="19"/>
      <c r="H90" s="19"/>
      <c r="I90" s="19"/>
      <c r="J90" s="5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</row>
    <row r="91" spans="1:31" ht="13.5" customHeight="1">
      <c r="A91" s="19"/>
      <c r="B91" s="19"/>
      <c r="C91" s="19"/>
      <c r="D91" s="19"/>
      <c r="E91" s="19"/>
      <c r="F91" s="19"/>
      <c r="G91" s="19"/>
      <c r="H91" s="19"/>
      <c r="I91" s="19"/>
      <c r="J91" s="5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</row>
    <row r="92" spans="1:31" ht="13.5" customHeight="1">
      <c r="A92" s="19"/>
      <c r="B92" s="19"/>
      <c r="C92" s="19"/>
      <c r="D92" s="19"/>
      <c r="E92" s="19"/>
      <c r="F92" s="19"/>
      <c r="G92" s="19"/>
      <c r="H92" s="19"/>
      <c r="I92" s="19"/>
      <c r="J92" s="5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</row>
    <row r="93" spans="1:31" ht="13.5" customHeight="1">
      <c r="A93" s="19"/>
      <c r="B93" s="19"/>
      <c r="C93" s="19"/>
      <c r="D93" s="19"/>
      <c r="E93" s="19"/>
      <c r="F93" s="19"/>
      <c r="G93" s="19"/>
      <c r="H93" s="19"/>
      <c r="I93" s="19"/>
      <c r="J93" s="5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</row>
    <row r="94" spans="1:31" ht="13.5" customHeight="1">
      <c r="A94" s="19"/>
      <c r="B94" s="19"/>
      <c r="C94" s="19"/>
      <c r="D94" s="19"/>
      <c r="E94" s="19"/>
      <c r="F94" s="19"/>
      <c r="G94" s="19"/>
      <c r="H94" s="19"/>
      <c r="I94" s="19"/>
      <c r="J94" s="5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</row>
    <row r="95" spans="1:31" ht="13.5" customHeight="1">
      <c r="A95" s="19"/>
      <c r="B95" s="19"/>
      <c r="C95" s="19"/>
      <c r="D95" s="19"/>
      <c r="E95" s="19"/>
      <c r="F95" s="19"/>
      <c r="G95" s="19"/>
      <c r="H95" s="19"/>
      <c r="I95" s="19"/>
      <c r="J95" s="5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</row>
    <row r="96" spans="1:31" ht="13.5" customHeight="1">
      <c r="A96" s="19"/>
      <c r="B96" s="19"/>
      <c r="C96" s="19"/>
      <c r="D96" s="19"/>
      <c r="E96" s="19"/>
      <c r="F96" s="19"/>
      <c r="G96" s="19"/>
      <c r="H96" s="19"/>
      <c r="I96" s="19"/>
      <c r="J96" s="5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</row>
    <row r="97" spans="1:31" ht="13.5" customHeight="1">
      <c r="A97" s="19"/>
      <c r="B97" s="19"/>
      <c r="C97" s="19"/>
      <c r="D97" s="19"/>
      <c r="E97" s="19"/>
      <c r="F97" s="19"/>
      <c r="G97" s="19"/>
      <c r="H97" s="19"/>
      <c r="I97" s="19"/>
      <c r="J97" s="5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</row>
    <row r="98" spans="1:31" ht="13.5" customHeight="1">
      <c r="A98" s="19"/>
      <c r="B98" s="19"/>
      <c r="C98" s="19"/>
      <c r="D98" s="19"/>
      <c r="E98" s="19"/>
      <c r="F98" s="19"/>
      <c r="G98" s="19"/>
      <c r="H98" s="19"/>
      <c r="I98" s="19"/>
      <c r="J98" s="5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</row>
    <row r="99" spans="1:31" ht="13.5" customHeight="1">
      <c r="A99" s="19"/>
      <c r="B99" s="19"/>
      <c r="C99" s="19"/>
      <c r="D99" s="19"/>
      <c r="E99" s="19"/>
      <c r="F99" s="19"/>
      <c r="G99" s="19"/>
      <c r="H99" s="19"/>
      <c r="I99" s="19"/>
      <c r="J99" s="5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</row>
    <row r="100" spans="1:31" ht="13.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5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</row>
    <row r="101" spans="1:31" ht="13.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5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</row>
    <row r="102" spans="1:31" ht="13.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5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</row>
    <row r="103" spans="1:31" ht="13.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5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</row>
    <row r="104" spans="1:31" ht="13.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5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</row>
    <row r="105" spans="1:31" ht="13.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5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</row>
    <row r="106" spans="1:31" ht="13.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5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</row>
    <row r="107" spans="1:31" ht="13.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5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</row>
    <row r="108" spans="1:31" ht="13.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5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</row>
    <row r="109" spans="1:31" ht="13.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5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</row>
    <row r="110" spans="1:31" ht="13.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5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</row>
    <row r="111" spans="1:31" ht="13.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5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</row>
    <row r="112" spans="1:31" ht="13.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5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</row>
    <row r="113" spans="1:31" ht="13.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5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</row>
    <row r="114" spans="1:31" ht="13.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5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</row>
    <row r="115" spans="1:31" ht="13.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5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</row>
    <row r="116" spans="1:31" ht="13.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5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</row>
    <row r="117" spans="1:31" ht="13.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5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</row>
    <row r="118" spans="1:31" ht="13.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5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</row>
    <row r="119" spans="1:31" ht="13.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5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</row>
    <row r="120" spans="1:31" ht="13.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5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</row>
    <row r="121" spans="1:31" ht="13.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5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</row>
    <row r="122" spans="1:31" ht="13.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5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</row>
    <row r="123" spans="1:31" ht="13.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5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</row>
    <row r="124" spans="1:31" ht="13.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5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</row>
    <row r="125" spans="1:31" ht="13.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5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</row>
    <row r="126" spans="1:31" ht="13.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5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</row>
    <row r="127" spans="1:31" ht="13.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5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</row>
    <row r="128" spans="1:31" ht="13.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5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</row>
    <row r="129" spans="1:31" ht="13.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5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</row>
    <row r="130" spans="1:31" ht="13.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5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</row>
    <row r="131" spans="1:31" ht="13.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5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</row>
    <row r="132" spans="1:31" ht="13.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5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</row>
    <row r="133" spans="1:31" ht="13.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5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</row>
    <row r="134" spans="1:31" ht="13.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5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</row>
    <row r="135" spans="1:31" ht="13.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5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</row>
    <row r="136" spans="1:31" ht="13.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5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</row>
    <row r="137" spans="1:31" ht="13.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5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</row>
    <row r="138" spans="1:31" ht="13.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5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</row>
    <row r="139" spans="1:31" ht="13.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5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</row>
    <row r="140" spans="1:31" ht="13.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5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</row>
    <row r="141" spans="1:31" ht="13.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5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</row>
    <row r="142" spans="1:31" ht="13.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5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</row>
    <row r="143" spans="1:31" ht="13.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5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</row>
    <row r="144" spans="1:31" ht="13.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5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</row>
    <row r="145" spans="1:31" ht="13.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5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</row>
    <row r="146" spans="1:31" ht="13.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5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</row>
    <row r="147" spans="1:31" ht="13.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5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</row>
    <row r="148" spans="1:31" ht="13.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5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</row>
    <row r="149" spans="1:31" ht="13.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5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</row>
    <row r="150" spans="1:31" ht="13.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5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</row>
    <row r="151" spans="1:31" ht="13.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5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</row>
    <row r="152" spans="1:31" ht="13.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5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</row>
    <row r="153" spans="1:31" ht="13.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5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</row>
    <row r="154" spans="1:31" ht="13.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5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</row>
    <row r="155" spans="1:31" ht="13.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5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</row>
    <row r="156" spans="1:31" ht="13.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5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</row>
    <row r="157" spans="1:31" ht="13.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5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</row>
    <row r="158" spans="1:31" ht="13.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5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</row>
    <row r="159" spans="1:31" ht="13.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5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</row>
    <row r="160" spans="1:31" ht="13.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5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</row>
    <row r="161" spans="1:31" ht="13.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5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</row>
    <row r="162" spans="1:31" ht="13.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5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</row>
    <row r="163" spans="1:31" ht="13.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5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</row>
    <row r="164" spans="1:31" ht="13.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5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</row>
    <row r="165" spans="1:31" ht="13.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5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</row>
    <row r="166" spans="1:31" ht="13.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5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</row>
    <row r="167" spans="1:31" ht="13.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5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</row>
    <row r="168" spans="1:31" ht="13.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5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</row>
    <row r="169" spans="1:31" ht="13.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5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</row>
    <row r="170" spans="1:31" ht="13.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5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</row>
    <row r="171" spans="1:31" ht="13.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5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</row>
    <row r="172" spans="1:31" ht="13.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5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</row>
    <row r="173" spans="1:31" ht="13.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5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</row>
    <row r="174" spans="1:31" ht="13.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5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</row>
    <row r="175" spans="1:31" ht="13.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5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</row>
    <row r="176" spans="1:31" ht="13.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5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</row>
    <row r="177" spans="1:31" ht="13.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5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</row>
    <row r="178" spans="1:31" ht="13.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5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</row>
    <row r="179" spans="1:31" ht="13.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5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</row>
    <row r="180" spans="1:31" ht="13.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5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</row>
    <row r="181" spans="1:31" ht="13.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5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</row>
    <row r="182" spans="1:31" ht="13.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5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</row>
    <row r="183" spans="1:31" ht="13.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5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</row>
    <row r="184" spans="1:31" ht="13.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5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</row>
    <row r="185" spans="1:31" ht="13.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5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</row>
    <row r="186" spans="1:31" ht="13.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5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</row>
    <row r="187" spans="1:31" ht="13.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5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</row>
    <row r="188" spans="1:31" ht="13.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5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</row>
    <row r="189" spans="1:31" ht="13.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5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</row>
    <row r="190" spans="1:31" ht="13.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5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</row>
    <row r="191" spans="1:31" ht="13.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5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</row>
    <row r="192" spans="1:31" ht="13.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5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</row>
    <row r="193" spans="1:31" ht="13.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5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</row>
    <row r="194" spans="1:31" ht="13.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5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</row>
    <row r="195" spans="1:31" ht="13.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5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</row>
    <row r="196" spans="1:31" ht="13.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5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</row>
    <row r="197" spans="1:31" ht="13.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5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</row>
    <row r="198" spans="1:31" ht="13.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5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</row>
    <row r="199" spans="1:31" ht="13.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5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</row>
    <row r="200" spans="1:31" ht="13.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5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</row>
    <row r="201" spans="1:31" ht="13.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5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</row>
    <row r="202" spans="1:31" ht="13.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5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</row>
    <row r="203" spans="1:31" ht="13.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5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</row>
    <row r="204" spans="1:31" ht="13.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5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</row>
    <row r="205" spans="1:31" ht="13.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5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</row>
    <row r="206" spans="1:31" ht="13.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5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</row>
    <row r="207" spans="1:31" ht="13.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5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</row>
    <row r="208" spans="1:31" ht="13.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5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</row>
    <row r="209" spans="1:31" ht="13.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5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</row>
    <row r="210" spans="1:31" ht="13.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5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</row>
    <row r="211" spans="1:31" ht="13.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5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</row>
    <row r="212" spans="1:31" ht="13.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5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</row>
    <row r="213" spans="1:31" ht="13.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5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</row>
    <row r="214" spans="1:31" ht="13.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5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</row>
    <row r="215" spans="1:31" ht="13.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5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</row>
    <row r="216" spans="1:31" ht="13.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5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</row>
    <row r="217" spans="1:31" ht="13.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5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</row>
    <row r="218" spans="1:31" ht="13.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5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</row>
    <row r="219" spans="1:31" ht="13.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5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</row>
    <row r="220" spans="1:31" ht="13.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5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</row>
    <row r="221" spans="1:31" ht="13.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5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</row>
    <row r="222" spans="1:31" ht="13.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5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</row>
    <row r="223" spans="1:31" ht="13.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5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</row>
    <row r="224" spans="1:31" ht="13.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5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</row>
    <row r="225" spans="1:31" ht="13.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5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</row>
    <row r="226" spans="1:31" ht="13.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5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</row>
    <row r="227" spans="1:31" ht="13.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5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</row>
    <row r="228" spans="1:31" ht="13.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5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</row>
    <row r="229" spans="1:31" ht="13.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5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</row>
    <row r="230" spans="1:31" ht="13.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5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</row>
    <row r="231" spans="1:31" ht="13.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5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</row>
    <row r="232" spans="1:31" ht="13.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5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</row>
    <row r="233" spans="1:31" ht="13.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5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</row>
    <row r="234" spans="1:31" ht="13.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5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</row>
    <row r="235" spans="1:31" ht="13.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5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</row>
    <row r="236" spans="1:31" ht="13.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5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</row>
    <row r="237" spans="1:31" ht="13.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5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</row>
    <row r="238" spans="1:31" ht="13.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5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</row>
    <row r="239" spans="1:31" ht="13.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5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</row>
    <row r="240" spans="1:31" ht="13.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5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</row>
    <row r="241" spans="1:31" ht="13.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5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</row>
    <row r="242" spans="1:31" ht="13.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5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</row>
    <row r="243" spans="1:31" ht="13.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5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</row>
    <row r="244" spans="1:31" ht="13.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5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</row>
    <row r="245" spans="1:31" ht="13.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5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</row>
    <row r="246" spans="1:31" ht="13.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5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</row>
    <row r="247" spans="1:31" ht="13.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5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</row>
    <row r="248" spans="1:31" ht="13.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5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</row>
    <row r="249" spans="1:31" ht="13.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5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</row>
    <row r="250" spans="1:31" ht="13.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5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</row>
    <row r="251" spans="1:31" ht="13.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5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</row>
    <row r="252" spans="1:31" ht="13.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5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</row>
    <row r="253" spans="1:31" ht="13.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5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</row>
    <row r="254" spans="1:31" ht="13.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5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</row>
    <row r="255" spans="1:31" ht="13.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5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</row>
    <row r="256" spans="1:31" ht="13.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5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</row>
    <row r="257" spans="1:31" ht="13.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5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</row>
    <row r="258" spans="1:31" ht="13.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5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</row>
    <row r="259" spans="1:31" ht="13.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5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</row>
    <row r="260" spans="1:31" ht="13.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5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</row>
    <row r="261" spans="1:31" ht="13.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5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</row>
    <row r="262" spans="1:31" ht="13.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5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</row>
    <row r="263" spans="1:31" ht="13.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5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</row>
    <row r="264" spans="1:31" ht="13.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5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</row>
    <row r="265" spans="1:31" ht="13.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5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</row>
    <row r="266" spans="1:31" ht="13.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5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</row>
    <row r="267" spans="1:31" ht="13.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5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</row>
    <row r="268" spans="1:31" ht="13.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5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</row>
    <row r="269" spans="1:31" ht="13.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5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</row>
    <row r="270" spans="1:31" ht="13.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5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</row>
    <row r="271" spans="1:31" ht="13.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5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</row>
    <row r="272" spans="1:31" ht="13.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5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</row>
    <row r="273" spans="1:31" ht="13.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5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</row>
    <row r="274" spans="1:31" ht="13.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5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</row>
    <row r="275" spans="1:31" ht="13.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5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</row>
    <row r="276" spans="1:31" ht="13.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5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</row>
    <row r="277" spans="1:31" ht="13.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5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</row>
    <row r="278" spans="1:31" ht="13.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5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</row>
    <row r="279" spans="1:31" ht="13.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5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</row>
    <row r="280" spans="1:31" ht="13.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5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</row>
    <row r="281" spans="1:31" ht="13.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5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</row>
    <row r="282" spans="1:31" ht="13.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5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</row>
    <row r="283" spans="1:31" ht="13.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5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</row>
    <row r="284" spans="1:31" ht="13.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5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</row>
    <row r="285" spans="1:31" ht="13.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5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</row>
    <row r="286" spans="1:31" ht="13.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5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</row>
    <row r="287" spans="1:31" ht="13.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5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</row>
    <row r="288" spans="1:31" ht="13.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5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</row>
    <row r="289" spans="1:31" ht="13.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5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</row>
    <row r="290" spans="1:31" ht="13.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5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</row>
    <row r="291" spans="1:31" ht="13.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5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</row>
    <row r="292" spans="1:31" ht="13.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5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</row>
    <row r="293" spans="1:31" ht="13.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5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</row>
    <row r="294" spans="1:31" ht="13.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5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</row>
    <row r="295" spans="1:31" ht="13.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5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</row>
    <row r="296" spans="1:31" ht="13.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5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</row>
    <row r="297" spans="1:31" ht="13.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5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</row>
    <row r="298" spans="1:31" ht="13.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5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</row>
    <row r="299" spans="1:31" ht="13.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5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</row>
    <row r="300" spans="1:31" ht="13.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5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</row>
    <row r="301" spans="1:31" ht="13.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5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</row>
    <row r="302" spans="1:31" ht="13.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5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</row>
    <row r="303" spans="1:31" ht="13.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5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</row>
    <row r="304" spans="1:31" ht="13.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5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</row>
    <row r="305" spans="1:31" ht="13.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5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</row>
    <row r="306" spans="1:31" ht="13.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5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</row>
    <row r="307" spans="1:31" ht="13.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5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</row>
    <row r="308" spans="1:31" ht="13.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5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</row>
    <row r="309" spans="1:31" ht="13.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5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</row>
    <row r="310" spans="1:31" ht="13.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5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</row>
    <row r="311" spans="1:31" ht="13.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5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</row>
    <row r="312" spans="1:31" ht="13.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5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</row>
    <row r="313" spans="1:31" ht="13.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5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</row>
    <row r="314" spans="1:31" ht="13.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5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</row>
    <row r="315" spans="1:31" ht="13.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5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</row>
    <row r="316" spans="1:31" ht="13.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5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</row>
    <row r="317" spans="1:31" ht="13.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5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</row>
    <row r="318" spans="1:31" ht="13.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5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</row>
    <row r="319" spans="1:31" ht="13.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5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</row>
    <row r="320" spans="1:31" ht="13.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5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</row>
    <row r="321" spans="1:31" ht="13.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5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</row>
    <row r="322" spans="1:31" ht="13.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5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</row>
    <row r="323" spans="1:31" ht="13.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5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</row>
    <row r="324" spans="1:31" ht="13.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5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</row>
    <row r="325" spans="1:31" ht="13.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5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</row>
    <row r="326" spans="1:31" ht="13.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5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</row>
    <row r="327" spans="1:31" ht="13.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5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</row>
    <row r="328" spans="1:31" ht="13.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5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</row>
    <row r="329" spans="1:31" ht="13.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5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</row>
    <row r="330" spans="1:31" ht="13.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5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</row>
    <row r="331" spans="1:31" ht="13.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5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</row>
    <row r="332" spans="1:31" ht="13.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5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</row>
    <row r="333" spans="1:31" ht="13.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5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</row>
    <row r="334" spans="1:31" ht="13.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5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</row>
    <row r="335" spans="1:31" ht="13.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5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</row>
    <row r="336" spans="1:31" ht="13.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5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</row>
    <row r="337" spans="1:31" ht="13.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5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</row>
    <row r="338" spans="1:31" ht="13.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5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</row>
    <row r="339" spans="1:31" ht="13.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5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</row>
    <row r="340" spans="1:31" ht="13.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5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</row>
    <row r="341" spans="1:31" ht="13.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5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</row>
    <row r="342" spans="1:31" ht="13.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5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</row>
    <row r="343" spans="1:31" ht="13.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5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</row>
    <row r="344" spans="1:31" ht="13.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5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</row>
    <row r="345" spans="1:31" ht="13.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5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</row>
    <row r="346" spans="1:31" ht="13.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5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</row>
    <row r="347" spans="1:31" ht="13.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5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</row>
    <row r="348" spans="1:31" ht="13.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5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</row>
    <row r="349" spans="1:31" ht="13.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5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</row>
    <row r="350" spans="1:31" ht="13.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5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</row>
    <row r="351" spans="1:31" ht="13.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5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</row>
    <row r="352" spans="1:31" ht="13.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5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</row>
    <row r="353" spans="1:31" ht="13.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5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</row>
    <row r="354" spans="1:31" ht="13.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5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</row>
    <row r="355" spans="1:31" ht="13.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5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</row>
    <row r="356" spans="1:31" ht="13.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5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</row>
    <row r="357" spans="1:31" ht="13.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5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</row>
    <row r="358" spans="1:31" ht="13.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5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</row>
    <row r="359" spans="1:31" ht="13.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5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</row>
    <row r="360" spans="1:31" ht="13.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5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</row>
    <row r="361" spans="1:31" ht="13.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5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</row>
    <row r="362" spans="1:31" ht="13.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5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</row>
    <row r="363" spans="1:31" ht="13.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5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</row>
    <row r="364" spans="1:31" ht="13.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5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</row>
    <row r="365" spans="1:31" ht="13.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5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</row>
    <row r="366" spans="1:31" ht="13.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5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</row>
    <row r="367" spans="1:31" ht="13.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5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</row>
    <row r="368" spans="1:31" ht="13.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5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</row>
    <row r="369" spans="1:31" ht="13.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5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</row>
    <row r="370" spans="1:31" ht="13.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5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</row>
    <row r="371" spans="1:31" ht="13.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5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</row>
    <row r="372" spans="1:31" ht="13.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5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</row>
    <row r="373" spans="1:31" ht="13.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5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</row>
    <row r="374" spans="1:31" ht="13.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5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</row>
    <row r="375" spans="1:31" ht="13.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5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</row>
    <row r="376" spans="1:31" ht="13.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5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</row>
    <row r="377" spans="1:31" ht="13.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5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</row>
    <row r="378" spans="1:31" ht="13.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5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</row>
    <row r="379" spans="1:31" ht="13.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5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</row>
    <row r="380" spans="1:31" ht="13.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5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</row>
    <row r="381" spans="1:31" ht="13.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5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</row>
    <row r="382" spans="1:31" ht="13.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5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</row>
    <row r="383" spans="1:31" ht="13.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5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</row>
    <row r="384" spans="1:31" ht="13.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5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</row>
    <row r="385" spans="1:31" ht="13.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5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</row>
    <row r="386" spans="1:31" ht="13.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5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</row>
    <row r="387" spans="1:31" ht="13.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5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</row>
    <row r="388" spans="1:31" ht="13.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5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</row>
    <row r="389" spans="1:31" ht="13.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5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</row>
    <row r="390" spans="1:31" ht="13.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5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</row>
    <row r="391" spans="1:31" ht="13.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5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</row>
    <row r="392" spans="1:31" ht="13.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5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</row>
    <row r="393" spans="1:31" ht="13.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5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</row>
    <row r="394" spans="1:31" ht="13.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5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</row>
    <row r="395" spans="1:31" ht="13.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5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</row>
    <row r="396" spans="1:31" ht="13.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5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</row>
    <row r="397" spans="1:31" ht="13.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5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</row>
    <row r="398" spans="1:31" ht="13.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5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</row>
    <row r="399" spans="1:31" ht="13.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5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</row>
    <row r="400" spans="1:31" ht="13.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5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</row>
    <row r="401" spans="1:31" ht="13.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5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</row>
    <row r="402" spans="1:31" ht="13.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5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</row>
    <row r="403" spans="1:31" ht="13.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5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</row>
    <row r="404" spans="1:31" ht="13.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5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</row>
    <row r="405" spans="1:31" ht="13.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5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</row>
    <row r="406" spans="1:31" ht="13.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5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</row>
    <row r="407" spans="1:31" ht="13.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5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</row>
    <row r="408" spans="1:31" ht="13.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5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</row>
    <row r="409" spans="1:31" ht="13.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5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</row>
    <row r="410" spans="1:31" ht="13.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5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</row>
    <row r="411" spans="1:31" ht="13.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5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</row>
    <row r="412" spans="1:31" ht="13.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5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</row>
    <row r="413" spans="1:31" ht="13.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5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</row>
    <row r="414" spans="1:31" ht="13.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5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</row>
    <row r="415" spans="1:31" ht="13.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5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</row>
    <row r="416" spans="1:31" ht="13.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5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</row>
    <row r="417" spans="1:31" ht="13.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5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</row>
    <row r="418" spans="1:31" ht="13.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5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</row>
    <row r="419" spans="1:31" ht="13.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5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</row>
    <row r="420" spans="1:31" ht="13.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5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</row>
    <row r="421" spans="1:31" ht="13.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5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</row>
    <row r="422" spans="1:31" ht="13.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5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</row>
    <row r="423" spans="1:31" ht="13.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5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</row>
    <row r="424" spans="1:31" ht="13.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5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</row>
    <row r="425" spans="1:31" ht="13.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5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</row>
    <row r="426" spans="1:31" ht="13.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5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</row>
    <row r="427" spans="1:31" ht="13.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5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</row>
    <row r="428" spans="1:31" ht="13.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5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</row>
    <row r="429" spans="1:31" ht="13.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5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</row>
    <row r="430" spans="1:31" ht="13.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5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</row>
    <row r="431" spans="1:31" ht="13.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5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</row>
    <row r="432" spans="1:31" ht="13.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5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</row>
    <row r="433" spans="1:31" ht="13.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5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</row>
    <row r="434" spans="1:31" ht="13.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5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</row>
    <row r="435" spans="1:31" ht="13.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5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</row>
    <row r="436" spans="1:31" ht="13.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5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</row>
    <row r="437" spans="1:31" ht="13.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5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</row>
    <row r="438" spans="1:31" ht="13.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5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</row>
    <row r="439" spans="1:31" ht="13.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5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</row>
    <row r="440" spans="1:31" ht="13.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5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</row>
    <row r="441" spans="1:31" ht="13.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5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</row>
    <row r="442" spans="1:31" ht="13.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5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</row>
    <row r="443" spans="1:31" ht="13.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5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</row>
    <row r="444" spans="1:31" ht="13.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5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</row>
    <row r="445" spans="1:31" ht="13.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5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</row>
    <row r="446" spans="1:31" ht="13.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5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</row>
    <row r="447" spans="1:31" ht="13.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5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</row>
    <row r="448" spans="1:31" ht="13.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5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</row>
    <row r="449" spans="1:31" ht="13.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5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</row>
    <row r="450" spans="1:31" ht="13.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5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</row>
    <row r="451" spans="1:31" ht="13.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5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</row>
    <row r="452" spans="1:31" ht="13.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5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</row>
    <row r="453" spans="1:31" ht="13.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5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</row>
    <row r="454" spans="1:31" ht="13.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5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</row>
    <row r="455" spans="1:31" ht="13.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5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</row>
    <row r="456" spans="1:31" ht="13.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5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</row>
    <row r="457" spans="1:31" ht="13.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5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</row>
    <row r="458" spans="1:31" ht="13.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5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</row>
    <row r="459" spans="1:31" ht="13.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5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</row>
    <row r="460" spans="1:31" ht="13.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5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</row>
    <row r="461" spans="1:31" ht="13.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5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</row>
    <row r="462" spans="1:31" ht="13.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5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</row>
    <row r="463" spans="1:31" ht="13.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5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</row>
    <row r="464" spans="1:31" ht="13.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5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</row>
    <row r="465" spans="1:31" ht="13.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5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</row>
    <row r="466" spans="1:31" ht="13.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5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</row>
    <row r="467" spans="1:31" ht="13.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5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</row>
    <row r="468" spans="1:31" ht="13.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5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</row>
    <row r="469" spans="1:31" ht="13.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5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</row>
    <row r="470" spans="1:31" ht="13.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5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</row>
    <row r="471" spans="1:31" ht="13.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5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</row>
    <row r="472" spans="1:31" ht="13.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5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</row>
    <row r="473" spans="1:31" ht="13.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5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</row>
    <row r="474" spans="1:31" ht="13.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5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</row>
    <row r="475" spans="1:31" ht="13.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5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</row>
    <row r="476" spans="1:31" ht="13.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5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</row>
    <row r="477" spans="1:31" ht="13.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5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</row>
    <row r="478" spans="1:31" ht="13.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5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</row>
    <row r="479" spans="1:31" ht="13.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5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</row>
    <row r="480" spans="1:31" ht="13.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5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</row>
    <row r="481" spans="1:31" ht="13.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5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</row>
    <row r="482" spans="1:31" ht="13.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5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</row>
    <row r="483" spans="1:31" ht="13.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5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</row>
    <row r="484" spans="1:31" ht="13.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5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</row>
    <row r="485" spans="1:31" ht="13.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5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</row>
    <row r="486" spans="1:31" ht="13.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5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</row>
    <row r="487" spans="1:31" ht="13.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5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</row>
    <row r="488" spans="1:31" ht="13.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5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</row>
    <row r="489" spans="1:31" ht="13.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5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</row>
    <row r="490" spans="1:31" ht="13.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5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</row>
    <row r="491" spans="1:31" ht="13.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5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</row>
    <row r="492" spans="1:31" ht="13.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5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</row>
    <row r="493" spans="1:31" ht="13.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5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</row>
    <row r="494" spans="1:31" ht="13.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5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</row>
    <row r="495" spans="1:31" ht="13.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5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</row>
    <row r="496" spans="1:31" ht="13.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5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</row>
    <row r="497" spans="1:31" ht="13.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5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</row>
    <row r="498" spans="1:31" ht="13.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5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</row>
    <row r="499" spans="1:31" ht="13.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5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</row>
    <row r="500" spans="1:31" ht="13.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5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</row>
    <row r="501" spans="1:31" ht="13.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5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</row>
    <row r="502" spans="1:31" ht="13.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5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</row>
    <row r="503" spans="1:31" ht="13.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5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</row>
    <row r="504" spans="1:31" ht="13.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5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</row>
    <row r="505" spans="1:31" ht="13.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5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</row>
    <row r="506" spans="1:31" ht="13.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5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</row>
    <row r="507" spans="1:31" ht="13.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5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</row>
    <row r="508" spans="1:31" ht="13.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5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</row>
    <row r="509" spans="1:31" ht="13.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5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</row>
    <row r="510" spans="1:31" ht="13.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5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</row>
    <row r="511" spans="1:31" ht="13.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5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</row>
    <row r="512" spans="1:31" ht="13.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5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</row>
    <row r="513" spans="1:31" ht="13.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5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</row>
    <row r="514" spans="1:31" ht="13.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5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</row>
    <row r="515" spans="1:31" ht="13.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5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</row>
    <row r="516" spans="1:31" ht="13.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5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</row>
    <row r="517" spans="1:31" ht="13.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5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</row>
    <row r="518" spans="1:31" ht="13.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5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</row>
    <row r="519" spans="1:31" ht="13.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5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</row>
    <row r="520" spans="1:31" ht="13.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5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</row>
    <row r="521" spans="1:31" ht="13.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5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</row>
    <row r="522" spans="1:31" ht="13.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5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</row>
    <row r="523" spans="1:31" ht="13.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5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</row>
    <row r="524" spans="1:31" ht="13.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5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</row>
    <row r="525" spans="1:31" ht="13.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5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</row>
    <row r="526" spans="1:31" ht="13.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5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</row>
    <row r="527" spans="1:31" ht="13.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5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</row>
    <row r="528" spans="1:31" ht="13.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5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</row>
    <row r="529" spans="1:31" ht="13.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5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</row>
    <row r="530" spans="1:31" ht="13.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5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</row>
    <row r="531" spans="1:31" ht="13.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5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</row>
    <row r="532" spans="1:31" ht="13.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5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</row>
    <row r="533" spans="1:31" ht="13.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5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</row>
    <row r="534" spans="1:31" ht="13.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5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</row>
    <row r="535" spans="1:31" ht="13.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5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</row>
    <row r="536" spans="1:31" ht="13.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5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</row>
    <row r="537" spans="1:31" ht="13.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5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</row>
    <row r="538" spans="1:31" ht="13.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5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</row>
    <row r="539" spans="1:31" ht="13.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5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</row>
    <row r="540" spans="1:31" ht="13.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5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</row>
    <row r="541" spans="1:31" ht="13.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5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</row>
    <row r="542" spans="1:31" ht="13.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5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</row>
    <row r="543" spans="1:31" ht="13.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5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</row>
    <row r="544" spans="1:31" ht="13.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5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</row>
    <row r="545" spans="1:31" ht="13.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5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</row>
    <row r="546" spans="1:31" ht="13.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5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</row>
    <row r="547" spans="1:31" ht="13.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5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</row>
    <row r="548" spans="1:31" ht="13.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5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</row>
    <row r="549" spans="1:31" ht="13.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5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</row>
    <row r="550" spans="1:31" ht="13.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5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</row>
    <row r="551" spans="1:31" ht="13.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5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</row>
    <row r="552" spans="1:31" ht="13.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5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</row>
    <row r="553" spans="1:31" ht="13.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5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</row>
    <row r="554" spans="1:31" ht="13.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5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</row>
    <row r="555" spans="1:31" ht="13.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5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</row>
    <row r="556" spans="1:31" ht="13.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5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</row>
    <row r="557" spans="1:31" ht="13.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5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</row>
    <row r="558" spans="1:31" ht="13.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5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</row>
    <row r="559" spans="1:31" ht="13.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5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</row>
    <row r="560" spans="1:31" ht="13.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5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</row>
    <row r="561" spans="1:31" ht="13.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5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</row>
    <row r="562" spans="1:31" ht="13.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5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</row>
    <row r="563" spans="1:31" ht="13.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5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</row>
    <row r="564" spans="1:31" ht="13.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5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</row>
    <row r="565" spans="1:31" ht="13.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5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</row>
    <row r="566" spans="1:31" ht="13.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5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</row>
    <row r="567" spans="1:31" ht="13.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5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</row>
    <row r="568" spans="1:31" ht="13.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5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</row>
    <row r="569" spans="1:31" ht="13.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5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</row>
    <row r="570" spans="1:31" ht="13.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5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</row>
    <row r="571" spans="1:31" ht="13.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5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</row>
    <row r="572" spans="1:31" ht="13.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5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</row>
    <row r="573" spans="1:31" ht="13.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5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</row>
    <row r="574" spans="1:31" ht="13.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5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</row>
    <row r="575" spans="1:31" ht="13.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5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</row>
    <row r="576" spans="1:31" ht="13.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5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</row>
    <row r="577" spans="1:31" ht="13.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5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</row>
    <row r="578" spans="1:31" ht="13.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5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</row>
    <row r="579" spans="1:31" ht="13.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5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</row>
    <row r="580" spans="1:31" ht="13.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5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</row>
    <row r="581" spans="1:31" ht="13.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5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</row>
    <row r="582" spans="1:31" ht="13.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5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</row>
    <row r="583" spans="1:31" ht="13.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5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</row>
    <row r="584" spans="1:31" ht="13.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5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</row>
    <row r="585" spans="1:31" ht="13.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5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</row>
    <row r="586" spans="1:31" ht="13.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5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</row>
    <row r="587" spans="1:31" ht="13.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5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</row>
    <row r="588" spans="1:31" ht="13.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5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</row>
    <row r="589" spans="1:31" ht="13.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5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</row>
    <row r="590" spans="1:31" ht="13.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5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</row>
    <row r="591" spans="1:31" ht="13.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5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</row>
    <row r="592" spans="1:31" ht="13.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5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</row>
    <row r="593" spans="1:31" ht="13.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5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</row>
    <row r="594" spans="1:31" ht="13.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5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</row>
    <row r="595" spans="1:31" ht="13.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5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</row>
    <row r="596" spans="1:31" ht="13.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5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</row>
    <row r="597" spans="1:31" ht="13.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5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</row>
    <row r="598" spans="1:31" ht="13.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5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</row>
    <row r="599" spans="1:31" ht="13.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5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</row>
    <row r="600" spans="1:31" ht="13.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5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</row>
    <row r="601" spans="1:31" ht="13.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5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</row>
    <row r="602" spans="1:31" ht="13.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5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</row>
    <row r="603" spans="1:31" ht="13.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5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</row>
    <row r="604" spans="1:31" ht="13.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5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</row>
    <row r="605" spans="1:31" ht="13.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5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</row>
    <row r="606" spans="1:31" ht="13.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5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</row>
    <row r="607" spans="1:31" ht="13.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5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</row>
    <row r="608" spans="1:31" ht="13.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5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</row>
    <row r="609" spans="1:31" ht="13.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5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</row>
    <row r="610" spans="1:31" ht="13.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5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</row>
    <row r="611" spans="1:31" ht="13.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5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</row>
    <row r="612" spans="1:31" ht="13.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5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</row>
    <row r="613" spans="1:31" ht="13.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5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</row>
    <row r="614" spans="1:31" ht="13.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5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</row>
    <row r="615" spans="1:31" ht="13.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5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</row>
    <row r="616" spans="1:31" ht="13.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5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</row>
    <row r="617" spans="1:31" ht="13.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5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</row>
    <row r="618" spans="1:31" ht="13.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5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</row>
    <row r="619" spans="1:31" ht="13.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5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</row>
    <row r="620" spans="1:31" ht="13.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5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</row>
    <row r="621" spans="1:31" ht="13.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5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</row>
    <row r="622" spans="1:31" ht="13.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5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</row>
    <row r="623" spans="1:31" ht="13.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5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</row>
    <row r="624" spans="1:31" ht="13.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5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</row>
    <row r="625" spans="1:31" ht="13.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5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</row>
    <row r="626" spans="1:31" ht="13.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5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</row>
    <row r="627" spans="1:31" ht="13.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5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</row>
    <row r="628" spans="1:31" ht="13.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5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</row>
    <row r="629" spans="1:31" ht="13.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5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</row>
    <row r="630" spans="1:31" ht="13.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5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</row>
    <row r="631" spans="1:31" ht="13.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5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</row>
    <row r="632" spans="1:31" ht="13.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5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</row>
    <row r="633" spans="1:31" ht="13.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5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</row>
    <row r="634" spans="1:31" ht="13.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5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</row>
    <row r="635" spans="1:31" ht="13.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5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</row>
    <row r="636" spans="1:31" ht="13.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5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</row>
    <row r="637" spans="1:31" ht="13.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5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</row>
    <row r="638" spans="1:31" ht="13.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5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</row>
    <row r="639" spans="1:31" ht="13.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5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</row>
    <row r="640" spans="1:31" ht="13.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5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</row>
    <row r="641" spans="1:31" ht="13.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5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</row>
    <row r="642" spans="1:31" ht="13.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5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</row>
    <row r="643" spans="1:31" ht="13.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5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</row>
    <row r="644" spans="1:31" ht="13.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5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</row>
    <row r="645" spans="1:31" ht="13.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5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</row>
    <row r="646" spans="1:31" ht="13.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5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</row>
    <row r="647" spans="1:31" ht="13.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5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</row>
    <row r="648" spans="1:31" ht="13.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5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</row>
    <row r="649" spans="1:31" ht="13.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5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</row>
    <row r="650" spans="1:31" ht="13.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5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</row>
    <row r="651" spans="1:31" ht="13.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5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</row>
    <row r="652" spans="1:31" ht="13.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5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</row>
    <row r="653" spans="1:31" ht="13.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5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</row>
    <row r="654" spans="1:31" ht="13.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5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</row>
    <row r="655" spans="1:31" ht="13.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5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</row>
    <row r="656" spans="1:31" ht="13.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5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</row>
    <row r="657" spans="1:31" ht="13.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5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</row>
    <row r="658" spans="1:31" ht="13.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5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</row>
    <row r="659" spans="1:31" ht="13.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5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</row>
    <row r="660" spans="1:31" ht="13.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5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</row>
    <row r="661" spans="1:31" ht="13.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5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</row>
    <row r="662" spans="1:31" ht="13.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5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</row>
    <row r="663" spans="1:31" ht="13.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5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</row>
    <row r="664" spans="1:31" ht="13.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5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</row>
    <row r="665" spans="1:31" ht="13.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5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</row>
    <row r="666" spans="1:31" ht="13.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5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</row>
    <row r="667" spans="1:31" ht="13.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5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</row>
    <row r="668" spans="1:31" ht="13.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5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</row>
    <row r="669" spans="1:31" ht="13.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5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</row>
    <row r="670" spans="1:31" ht="13.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5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</row>
    <row r="671" spans="1:31" ht="13.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5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</row>
    <row r="672" spans="1:31" ht="13.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5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</row>
    <row r="673" spans="1:31" ht="13.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5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</row>
    <row r="674" spans="1:31" ht="13.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5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</row>
    <row r="675" spans="1:31" ht="13.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5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</row>
    <row r="676" spans="1:31" ht="13.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5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</row>
    <row r="677" spans="1:31" ht="13.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5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</row>
    <row r="678" spans="1:31" ht="13.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5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</row>
    <row r="679" spans="1:31" ht="13.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5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</row>
    <row r="680" spans="1:31" ht="13.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5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</row>
    <row r="681" spans="1:31" ht="13.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5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</row>
    <row r="682" spans="1:31" ht="13.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5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</row>
    <row r="683" spans="1:31" ht="13.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5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</row>
    <row r="684" spans="1:31" ht="13.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5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</row>
    <row r="685" spans="1:31" ht="13.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5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</row>
    <row r="686" spans="1:31" ht="13.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5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</row>
    <row r="687" spans="1:31" ht="13.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5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</row>
    <row r="688" spans="1:31" ht="13.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5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</row>
    <row r="689" spans="1:31" ht="13.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5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</row>
    <row r="690" spans="1:31" ht="13.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5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</row>
    <row r="691" spans="1:31" ht="13.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5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</row>
    <row r="692" spans="1:31" ht="13.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5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</row>
    <row r="693" spans="1:31" ht="13.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5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</row>
    <row r="694" spans="1:31" ht="13.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5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</row>
    <row r="695" spans="1:31" ht="13.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5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</row>
    <row r="696" spans="1:31" ht="13.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5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</row>
    <row r="697" spans="1:31" ht="13.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5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</row>
    <row r="698" spans="1:31" ht="13.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5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</row>
    <row r="699" spans="1:31" ht="13.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5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</row>
    <row r="700" spans="1:31" ht="13.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5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</row>
    <row r="701" spans="1:31" ht="13.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5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</row>
    <row r="702" spans="1:31" ht="13.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5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</row>
    <row r="703" spans="1:31" ht="13.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5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</row>
    <row r="704" spans="1:31" ht="13.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5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</row>
    <row r="705" spans="1:31" ht="13.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5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</row>
    <row r="706" spans="1:31" ht="13.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5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</row>
    <row r="707" spans="1:31" ht="13.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5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</row>
    <row r="708" spans="1:31" ht="13.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5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</row>
    <row r="709" spans="1:31" ht="13.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5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</row>
    <row r="710" spans="1:31" ht="13.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5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</row>
    <row r="711" spans="1:31" ht="13.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5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</row>
    <row r="712" spans="1:31" ht="13.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5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</row>
    <row r="713" spans="1:31" ht="13.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5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</row>
    <row r="714" spans="1:31" ht="13.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5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</row>
    <row r="715" spans="1:31" ht="13.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5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</row>
    <row r="716" spans="1:31" ht="13.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5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</row>
    <row r="717" spans="1:31" ht="13.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5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</row>
    <row r="718" spans="1:31" ht="13.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5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</row>
    <row r="719" spans="1:31" ht="13.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5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</row>
    <row r="720" spans="1:31" ht="13.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5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</row>
    <row r="721" spans="1:31" ht="13.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5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</row>
    <row r="722" spans="1:31" ht="13.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5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</row>
    <row r="723" spans="1:31" ht="13.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5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</row>
    <row r="724" spans="1:31" ht="13.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5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</row>
    <row r="725" spans="1:31" ht="13.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5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</row>
    <row r="726" spans="1:31" ht="13.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5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</row>
    <row r="727" spans="1:31" ht="13.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5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</row>
    <row r="728" spans="1:31" ht="13.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5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</row>
    <row r="729" spans="1:31" ht="13.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5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</row>
    <row r="730" spans="1:31" ht="13.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5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</row>
    <row r="731" spans="1:31" ht="13.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5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</row>
    <row r="732" spans="1:31" ht="13.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5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</row>
    <row r="733" spans="1:31" ht="13.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5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</row>
    <row r="734" spans="1:31" ht="13.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5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</row>
    <row r="735" spans="1:31" ht="13.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5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</row>
    <row r="736" spans="1:31" ht="13.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5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</row>
    <row r="737" spans="1:31" ht="13.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5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</row>
    <row r="738" spans="1:31" ht="13.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5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</row>
    <row r="739" spans="1:31" ht="13.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5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</row>
    <row r="740" spans="1:31" ht="13.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5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</row>
    <row r="741" spans="1:31" ht="13.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5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</row>
    <row r="742" spans="1:31" ht="13.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5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</row>
    <row r="743" spans="1:31" ht="13.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5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</row>
    <row r="744" spans="1:31" ht="13.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5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</row>
    <row r="745" spans="1:31" ht="13.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5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</row>
    <row r="746" spans="1:31" ht="13.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5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</row>
    <row r="747" spans="1:31" ht="13.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5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</row>
    <row r="748" spans="1:31" ht="13.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5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</row>
    <row r="749" spans="1:31" ht="13.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5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</row>
    <row r="750" spans="1:31" ht="13.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5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</row>
    <row r="751" spans="1:31" ht="13.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5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</row>
    <row r="752" spans="1:31" ht="13.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5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</row>
    <row r="753" spans="1:31" ht="13.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5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</row>
    <row r="754" spans="1:31" ht="13.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5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</row>
    <row r="755" spans="1:31" ht="13.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5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</row>
    <row r="756" spans="1:31" ht="13.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5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</row>
    <row r="757" spans="1:31" ht="13.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5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</row>
    <row r="758" spans="1:31" ht="13.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5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</row>
    <row r="759" spans="1:31" ht="13.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5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</row>
    <row r="760" spans="1:31" ht="13.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5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</row>
    <row r="761" spans="1:31" ht="13.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5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</row>
    <row r="762" spans="1:31" ht="13.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5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</row>
    <row r="763" spans="1:31" ht="13.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5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</row>
    <row r="764" spans="1:31" ht="13.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5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</row>
    <row r="765" spans="1:31" ht="13.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5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</row>
    <row r="766" spans="1:31" ht="13.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5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</row>
    <row r="767" spans="1:31" ht="13.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5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</row>
    <row r="768" spans="1:31" ht="13.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5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</row>
    <row r="769" spans="1:31" ht="13.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5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</row>
    <row r="770" spans="1:31" ht="13.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5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</row>
    <row r="771" spans="1:31" ht="13.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5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</row>
    <row r="772" spans="1:31" ht="13.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5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</row>
    <row r="773" spans="1:31" ht="13.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5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</row>
    <row r="774" spans="1:31" ht="13.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5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</row>
    <row r="775" spans="1:31" ht="13.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5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</row>
    <row r="776" spans="1:31" ht="13.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5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</row>
    <row r="777" spans="1:31" ht="13.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5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</row>
    <row r="778" spans="1:31" ht="13.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5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</row>
    <row r="779" spans="1:31" ht="13.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5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</row>
    <row r="780" spans="1:31" ht="13.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5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</row>
    <row r="781" spans="1:31" ht="13.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5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</row>
    <row r="782" spans="1:31" ht="13.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5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</row>
    <row r="783" spans="1:31" ht="13.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5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</row>
    <row r="784" spans="1:31" ht="13.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5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</row>
    <row r="785" spans="1:31" ht="13.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5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</row>
    <row r="786" spans="1:31" ht="13.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5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</row>
    <row r="787" spans="1:31" ht="13.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5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</row>
    <row r="788" spans="1:31" ht="13.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5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</row>
    <row r="789" spans="1:31" ht="13.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5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</row>
    <row r="790" spans="1:31" ht="13.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5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</row>
    <row r="791" spans="1:31" ht="13.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5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</row>
    <row r="792" spans="1:31" ht="13.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5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</row>
    <row r="793" spans="1:31" ht="13.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5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</row>
    <row r="794" spans="1:31" ht="13.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5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</row>
    <row r="795" spans="1:31" ht="13.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5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</row>
    <row r="796" spans="1:31" ht="13.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5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</row>
    <row r="797" spans="1:31" ht="13.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5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</row>
    <row r="798" spans="1:31" ht="13.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5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</row>
    <row r="799" spans="1:31" ht="13.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5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</row>
    <row r="800" spans="1:31" ht="13.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5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</row>
    <row r="801" spans="1:31" ht="13.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5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</row>
    <row r="802" spans="1:31" ht="13.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5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</row>
    <row r="803" spans="1:31" ht="13.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5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</row>
    <row r="804" spans="1:31" ht="13.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5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</row>
    <row r="805" spans="1:31" ht="13.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5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</row>
    <row r="806" spans="1:31" ht="13.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5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</row>
    <row r="807" spans="1:31" ht="13.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5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</row>
    <row r="808" spans="1:31" ht="13.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5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</row>
    <row r="809" spans="1:31" ht="13.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5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</row>
    <row r="810" spans="1:31" ht="13.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5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</row>
    <row r="811" spans="1:31" ht="13.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5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</row>
    <row r="812" spans="1:31" ht="13.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5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</row>
    <row r="813" spans="1:31" ht="13.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5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</row>
    <row r="814" spans="1:31" ht="13.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5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</row>
    <row r="815" spans="1:31" ht="13.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5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</row>
    <row r="816" spans="1:31" ht="13.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5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</row>
    <row r="817" spans="1:31" ht="13.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5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</row>
    <row r="818" spans="1:31" ht="13.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5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</row>
    <row r="819" spans="1:31" ht="13.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5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</row>
    <row r="820" spans="1:31" ht="13.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5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</row>
    <row r="821" spans="1:31" ht="13.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5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</row>
    <row r="822" spans="1:31" ht="13.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5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</row>
    <row r="823" spans="1:31" ht="13.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5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</row>
    <row r="824" spans="1:31" ht="13.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5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</row>
    <row r="825" spans="1:31" ht="13.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5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</row>
    <row r="826" spans="1:31" ht="13.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5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</row>
    <row r="827" spans="1:31" ht="13.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5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</row>
    <row r="828" spans="1:31" ht="13.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5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</row>
    <row r="829" spans="1:31" ht="13.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5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</row>
    <row r="830" spans="1:31" ht="13.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5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</row>
    <row r="831" spans="1:31" ht="13.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5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</row>
    <row r="832" spans="1:31" ht="13.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5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</row>
    <row r="833" spans="1:31" ht="13.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5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</row>
    <row r="834" spans="1:31" ht="13.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5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</row>
    <row r="835" spans="1:31" ht="13.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5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</row>
    <row r="836" spans="1:31" ht="13.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5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</row>
    <row r="837" spans="1:31" ht="13.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5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</row>
    <row r="838" spans="1:31" ht="13.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5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</row>
    <row r="839" spans="1:31" ht="13.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5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</row>
    <row r="840" spans="1:31" ht="13.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5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</row>
    <row r="841" spans="1:31" ht="13.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5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</row>
    <row r="842" spans="1:31" ht="13.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5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</row>
    <row r="843" spans="1:31" ht="13.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5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</row>
    <row r="844" spans="1:31" ht="13.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5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</row>
    <row r="845" spans="1:31" ht="13.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5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</row>
    <row r="846" spans="1:31" ht="13.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5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</row>
    <row r="847" spans="1:31" ht="13.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5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</row>
    <row r="848" spans="1:31" ht="13.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5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</row>
    <row r="849" spans="1:31" ht="13.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5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</row>
    <row r="850" spans="1:31" ht="13.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5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</row>
    <row r="851" spans="1:31" ht="13.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5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</row>
    <row r="852" spans="1:31" ht="13.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5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</row>
    <row r="853" spans="1:31" ht="13.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5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</row>
    <row r="854" spans="1:31" ht="13.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5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</row>
    <row r="855" spans="1:31" ht="13.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5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</row>
    <row r="856" spans="1:31" ht="13.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5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</row>
    <row r="857" spans="1:31" ht="13.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5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</row>
    <row r="858" spans="1:31" ht="13.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5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</row>
    <row r="859" spans="1:31" ht="13.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5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</row>
    <row r="860" spans="1:31" ht="13.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5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</row>
    <row r="861" spans="1:31" ht="13.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5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</row>
    <row r="862" spans="1:31" ht="13.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5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</row>
    <row r="863" spans="1:31" ht="13.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5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</row>
    <row r="864" spans="1:31" ht="13.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5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</row>
    <row r="865" spans="1:31" ht="13.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5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</row>
    <row r="866" spans="1:31" ht="13.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5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</row>
    <row r="867" spans="1:31" ht="13.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5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</row>
    <row r="868" spans="1:31" ht="13.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5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</row>
    <row r="869" spans="1:31" ht="13.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5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</row>
    <row r="870" spans="1:31" ht="13.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5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</row>
    <row r="871" spans="1:31" ht="13.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5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</row>
    <row r="872" spans="1:31" ht="13.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5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</row>
    <row r="873" spans="1:31" ht="13.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5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</row>
    <row r="874" spans="1:31" ht="13.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5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</row>
    <row r="875" spans="1:31" ht="13.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5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</row>
    <row r="876" spans="1:31" ht="13.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5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</row>
    <row r="877" spans="1:31" ht="13.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5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</row>
    <row r="878" spans="1:31" ht="13.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5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</row>
    <row r="879" spans="1:31" ht="13.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5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</row>
    <row r="880" spans="1:31" ht="13.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5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</row>
    <row r="881" spans="1:31" ht="13.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5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</row>
    <row r="882" spans="1:31" ht="13.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5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</row>
    <row r="883" spans="1:31" ht="13.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5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</row>
    <row r="884" spans="1:31" ht="13.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5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</row>
    <row r="885" spans="1:31" ht="13.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5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</row>
    <row r="886" spans="1:31" ht="13.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5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</row>
    <row r="887" spans="1:31" ht="13.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5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</row>
    <row r="888" spans="1:31" ht="13.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5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</row>
    <row r="889" spans="1:31" ht="13.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5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</row>
    <row r="890" spans="1:31" ht="13.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5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</row>
    <row r="891" spans="1:31" ht="13.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5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</row>
    <row r="892" spans="1:31" ht="13.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5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</row>
    <row r="893" spans="1:31" ht="13.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5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</row>
    <row r="894" spans="1:31" ht="13.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5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</row>
    <row r="895" spans="1:31" ht="13.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5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</row>
    <row r="896" spans="1:31" ht="13.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5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</row>
    <row r="897" spans="1:31" ht="13.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5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</row>
    <row r="898" spans="1:31" ht="13.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5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</row>
    <row r="899" spans="1:31" ht="13.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5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</row>
    <row r="900" spans="1:31" ht="13.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5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</row>
    <row r="901" spans="1:31" ht="13.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5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</row>
    <row r="902" spans="1:31" ht="13.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5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</row>
    <row r="903" spans="1:31" ht="13.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5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</row>
    <row r="904" spans="1:31" ht="13.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5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</row>
    <row r="905" spans="1:31" ht="13.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5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</row>
    <row r="906" spans="1:31" ht="13.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5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</row>
    <row r="907" spans="1:31" ht="13.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5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</row>
    <row r="908" spans="1:31" ht="13.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5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</row>
    <row r="909" spans="1:31" ht="13.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5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</row>
    <row r="910" spans="1:31" ht="13.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5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</row>
    <row r="911" spans="1:31" ht="13.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5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</row>
    <row r="912" spans="1:31" ht="13.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5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</row>
    <row r="913" spans="1:31" ht="13.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5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</row>
    <row r="914" spans="1:31" ht="13.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5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</row>
    <row r="915" spans="1:31" ht="13.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5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</row>
    <row r="916" spans="1:31" ht="13.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5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</row>
    <row r="917" spans="1:31" ht="13.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5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</row>
    <row r="918" spans="1:31" ht="13.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5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</row>
    <row r="919" spans="1:31" ht="13.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5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</row>
    <row r="920" spans="1:31" ht="13.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5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</row>
    <row r="921" spans="1:31" ht="13.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5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</row>
    <row r="922" spans="1:31" ht="13.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5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</row>
    <row r="923" spans="1:31" ht="13.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5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</row>
    <row r="924" spans="1:31" ht="13.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5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</row>
    <row r="925" spans="1:31" ht="13.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5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</row>
    <row r="926" spans="1:31" ht="13.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5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</row>
    <row r="927" spans="1:31" ht="13.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5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</row>
    <row r="928" spans="1:31" ht="13.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5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</row>
    <row r="929" spans="1:31" ht="13.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5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</row>
    <row r="930" spans="1:31" ht="13.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5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</row>
    <row r="931" spans="1:31" ht="13.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5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</row>
    <row r="932" spans="1:31" ht="13.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5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</row>
    <row r="933" spans="1:31" ht="13.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5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</row>
    <row r="934" spans="1:31" ht="13.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5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</row>
    <row r="935" spans="1:31" ht="13.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5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</row>
    <row r="936" spans="1:31" ht="13.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5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</row>
    <row r="937" spans="1:31" ht="13.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5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</row>
    <row r="938" spans="1:31" ht="13.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5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</row>
    <row r="939" spans="1:31" ht="13.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5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</row>
    <row r="940" spans="1:31" ht="13.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5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</row>
    <row r="941" spans="1:31" ht="13.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5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</row>
    <row r="942" spans="1:31" ht="13.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5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</row>
    <row r="943" spans="1:31" ht="13.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5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</row>
    <row r="944" spans="1:31" ht="13.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5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</row>
    <row r="945" spans="1:31" ht="13.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5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</row>
    <row r="946" spans="1:31" ht="13.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5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</row>
    <row r="947" spans="1:31" ht="13.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5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</row>
    <row r="948" spans="1:31" ht="13.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5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</row>
    <row r="949" spans="1:31" ht="13.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5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</row>
    <row r="950" spans="1:31" ht="13.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5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</row>
    <row r="951" spans="1:31" ht="13.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5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</row>
    <row r="952" spans="1:31" ht="13.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5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</row>
    <row r="953" spans="1:31" ht="13.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5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</row>
    <row r="954" spans="1:31" ht="13.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5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</row>
    <row r="955" spans="1:31" ht="13.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5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</row>
    <row r="956" spans="1:31" ht="13.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5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</row>
    <row r="957" spans="1:31" ht="13.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5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</row>
    <row r="958" spans="1:31" ht="13.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5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</row>
    <row r="959" spans="1:31" ht="13.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5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</row>
    <row r="960" spans="1:31" ht="13.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5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</row>
    <row r="961" spans="1:31" ht="13.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5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</row>
    <row r="962" spans="1:31" ht="13.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5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</row>
    <row r="963" spans="1:31" ht="13.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5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</row>
    <row r="964" spans="1:31" ht="13.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5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</row>
    <row r="965" spans="1:31" ht="13.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5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</row>
    <row r="966" spans="1:31" ht="13.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5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</row>
    <row r="967" spans="1:31" ht="13.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5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</row>
    <row r="968" spans="1:31" ht="13.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5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</row>
    <row r="969" spans="1:31" ht="13.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5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</row>
    <row r="970" spans="1:31" ht="13.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5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</row>
    <row r="971" spans="1:31" ht="13.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5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</row>
    <row r="972" spans="1:31" ht="13.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5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</row>
    <row r="973" spans="1:31" ht="13.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5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</row>
    <row r="974" spans="1:31" ht="13.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5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</row>
    <row r="975" spans="1:31" ht="13.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5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</row>
    <row r="976" spans="1:31" ht="13.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5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</row>
    <row r="977" spans="1:31" ht="13.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5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</row>
    <row r="978" spans="1:31" ht="13.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5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</row>
    <row r="979" spans="1:31" ht="13.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5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</row>
    <row r="980" spans="1:31" ht="13.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5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</row>
    <row r="981" spans="1:31" ht="13.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5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</row>
    <row r="982" spans="1:31" ht="13.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5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</row>
    <row r="983" spans="1:31" ht="13.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5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</row>
    <row r="984" spans="1:31" ht="13.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5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</row>
    <row r="985" spans="1:31" ht="13.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5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</row>
    <row r="986" spans="1:31" ht="13.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5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</row>
    <row r="987" spans="1:31" ht="13.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5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</row>
    <row r="988" spans="1:31" ht="13.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5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</row>
    <row r="989" spans="1:31" ht="13.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5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Intermediate or working files</vt:lpstr>
      <vt:lpstr>Data Types</vt:lpstr>
      <vt:lpstr>Final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Thomas, Samantha Gabrielle</dc:creator>
  <cp:lastModifiedBy>Michelle Busch</cp:lastModifiedBy>
  <dcterms:created xsi:type="dcterms:W3CDTF">2019-07-18T18:32:34Z</dcterms:created>
  <dcterms:modified xsi:type="dcterms:W3CDTF">2025-06-05T20:58:03Z</dcterms:modified>
</cp:coreProperties>
</file>